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Results" sheetId="2" r:id="rId5"/>
    <sheet state="visible" name="Table" sheetId="3" r:id="rId6"/>
    <sheet state="hidden" name="Playoff Bracket" sheetId="4" r:id="rId7"/>
  </sheets>
  <definedNames/>
  <calcPr/>
</workbook>
</file>

<file path=xl/sharedStrings.xml><?xml version="1.0" encoding="utf-8"?>
<sst xmlns="http://schemas.openxmlformats.org/spreadsheetml/2006/main" count="127" uniqueCount="107">
  <si>
    <t>College</t>
  </si>
  <si>
    <t>Games played</t>
  </si>
  <si>
    <t>Wins</t>
  </si>
  <si>
    <t>Losses</t>
  </si>
  <si>
    <t>Winner</t>
  </si>
  <si>
    <t>Winner (college)</t>
  </si>
  <si>
    <t>Draws</t>
  </si>
  <si>
    <t>Points (6/win, 3/draw)</t>
  </si>
  <si>
    <t>Date</t>
  </si>
  <si>
    <r>
      <rPr>
        <rFont val="Arial"/>
        <b/>
        <color rgb="FFFF00FF"/>
        <sz val="18.0"/>
      </rPr>
      <t>Table Tennis Schedule!</t>
    </r>
    <r>
      <rPr>
        <rFont val="Arial"/>
      </rPr>
      <t xml:space="preserve">
</t>
    </r>
    <r>
      <rPr>
        <rFont val="Arial"/>
        <sz val="14.0"/>
      </rPr>
      <t xml:space="preserve">Games will be held nightly, MONDAY—THURSDAY
</t>
    </r>
    <r>
      <rPr>
        <rFont val="Arial"/>
      </rPr>
      <t>Games will take place in Room K, on the fifth floor of PWG
Email or Text Natalie (natalie.haase@yale.edu; 435-210-1493) with any questions</t>
    </r>
  </si>
  <si>
    <t>BK</t>
  </si>
  <si>
    <t>Green Division: GH, PC, ES, BF, TD, TC, MC</t>
  </si>
  <si>
    <t>Blue Division: MY, BR, SY, DC, SM, BK, JE</t>
  </si>
  <si>
    <t>WEEK 1</t>
  </si>
  <si>
    <r>
      <rPr>
        <rFont val="Arial"/>
      </rPr>
      <t xml:space="preserve">Monday (9/7) </t>
    </r>
    <r>
      <rPr>
        <rFont val="Arial"/>
        <i/>
      </rPr>
      <t>Labor Day</t>
    </r>
  </si>
  <si>
    <t xml:space="preserve">Winner: </t>
  </si>
  <si>
    <r>
      <rPr>
        <rFont val="Arial"/>
      </rPr>
      <t xml:space="preserve">Tuesday (9/8) </t>
    </r>
    <r>
      <rPr>
        <rFont val="Arial"/>
        <i/>
      </rPr>
      <t>1st Day of IMs</t>
    </r>
  </si>
  <si>
    <t>TD</t>
  </si>
  <si>
    <t>Wednesday (9/9)</t>
  </si>
  <si>
    <t>Thursday (9/10)</t>
  </si>
  <si>
    <t>Room K</t>
  </si>
  <si>
    <t>SY vs ES</t>
  </si>
  <si>
    <t>BK vs PC</t>
  </si>
  <si>
    <t>MC</t>
  </si>
  <si>
    <t>SM vs MY</t>
  </si>
  <si>
    <t>GH vs MY</t>
  </si>
  <si>
    <t>TD vs TC</t>
  </si>
  <si>
    <t>SY vs BR</t>
  </si>
  <si>
    <t>DC vs BR</t>
  </si>
  <si>
    <t>MC vs JE</t>
  </si>
  <si>
    <t>GH vs ES</t>
  </si>
  <si>
    <t>WEEK 2</t>
  </si>
  <si>
    <t>Monday (9/14)</t>
  </si>
  <si>
    <t>Tuesday (9/15) IM Vball Tourney</t>
  </si>
  <si>
    <t>BF</t>
  </si>
  <si>
    <t>Wednesday (9/16)</t>
  </si>
  <si>
    <t>Thursday (9/17)</t>
  </si>
  <si>
    <t>DC vs ES</t>
  </si>
  <si>
    <t>GH vs DC</t>
  </si>
  <si>
    <t>MC vs PC</t>
  </si>
  <si>
    <t>SM vs BR</t>
  </si>
  <si>
    <t>SM vs ES</t>
  </si>
  <si>
    <t>BF vs JE</t>
  </si>
  <si>
    <t>SY vs MY</t>
  </si>
  <si>
    <t>BR vs MY</t>
  </si>
  <si>
    <t>BK vs TC</t>
  </si>
  <si>
    <t>WEEK 3</t>
  </si>
  <si>
    <t>PC</t>
  </si>
  <si>
    <r>
      <rPr>
        <rFont val="Arial"/>
      </rPr>
      <t xml:space="preserve">Monday (9/21) </t>
    </r>
    <r>
      <rPr>
        <rFont val="Arial"/>
        <i/>
      </rPr>
      <t>Yom Kippur</t>
    </r>
  </si>
  <si>
    <t>Tuesday (9/22)</t>
  </si>
  <si>
    <t xml:space="preserve">Wednesday (9/23) </t>
  </si>
  <si>
    <t>Thursday (9/24)</t>
  </si>
  <si>
    <t>SY vs GH</t>
  </si>
  <si>
    <t>TD vs MC</t>
  </si>
  <si>
    <t>BK vs TD</t>
  </si>
  <si>
    <t>DC vs SM</t>
  </si>
  <si>
    <t>BF vs PC</t>
  </si>
  <si>
    <t>MC vs BF</t>
  </si>
  <si>
    <t>ES vs BR</t>
  </si>
  <si>
    <t>JE vs TC</t>
  </si>
  <si>
    <t>PC vs JE</t>
  </si>
  <si>
    <t>WEEK 4</t>
  </si>
  <si>
    <t>JE</t>
  </si>
  <si>
    <t>Monday (09/28)</t>
  </si>
  <si>
    <t>Tuesday (09/29)</t>
  </si>
  <si>
    <t>Wednesday (9/30)</t>
  </si>
  <si>
    <t>Thursday (10/1)</t>
  </si>
  <si>
    <t>PC vs TC</t>
  </si>
  <si>
    <t>ES vs MY</t>
  </si>
  <si>
    <t>TD vs JE</t>
  </si>
  <si>
    <t>GH vs BR</t>
  </si>
  <si>
    <t>BK vs MC</t>
  </si>
  <si>
    <t>SY vs DC</t>
  </si>
  <si>
    <t>MC vs TC</t>
  </si>
  <si>
    <t>DC vs MY</t>
  </si>
  <si>
    <t>TD vs BF</t>
  </si>
  <si>
    <t>GH vs SM</t>
  </si>
  <si>
    <t>BK vs BF</t>
  </si>
  <si>
    <t>SY vs SM</t>
  </si>
  <si>
    <t>WEEK 5</t>
  </si>
  <si>
    <t xml:space="preserve">PLAYOFFS </t>
  </si>
  <si>
    <t>TC</t>
  </si>
  <si>
    <r>
      <rPr>
        <rFont val="arial,sans,sans-serif"/>
      </rPr>
      <t xml:space="preserve">Monday (10/5) </t>
    </r>
    <r>
      <rPr>
        <rFont val="arial,sans,sans-serif"/>
        <i/>
      </rPr>
      <t>1st day playoffs</t>
    </r>
  </si>
  <si>
    <t>Tuesday (10/6)</t>
  </si>
  <si>
    <r>
      <rPr>
        <rFont val="Arial"/>
      </rPr>
      <t xml:space="preserve">Wednesday (10/7) </t>
    </r>
    <r>
      <rPr>
        <rFont val="Arial"/>
        <i/>
      </rPr>
      <t>quarters</t>
    </r>
  </si>
  <si>
    <r>
      <rPr>
        <rFont val="Arial"/>
      </rPr>
      <t xml:space="preserve">Thursday (10/8) </t>
    </r>
    <r>
      <rPr>
        <rFont val="Arial"/>
        <i/>
      </rPr>
      <t>quarters</t>
    </r>
  </si>
  <si>
    <t>BF vs TC</t>
  </si>
  <si>
    <t>BK vs JE</t>
  </si>
  <si>
    <t>TD vs PC</t>
  </si>
  <si>
    <t>SY</t>
  </si>
  <si>
    <t>MIDTERMS</t>
  </si>
  <si>
    <t>Monday (10/12)</t>
  </si>
  <si>
    <t>Tuesday (10/13)</t>
  </si>
  <si>
    <t>Wednesday (10/14)</t>
  </si>
  <si>
    <t>Thursday (10/15)</t>
  </si>
  <si>
    <t>OCTOBER RECESS (Wed 21st - Sun 25th)</t>
  </si>
  <si>
    <t>GH</t>
  </si>
  <si>
    <t>WEEK 6</t>
  </si>
  <si>
    <r>
      <rPr>
        <rFont val="arial,sans,sans-serif"/>
      </rPr>
      <t xml:space="preserve">Monday (10/26) </t>
    </r>
    <r>
      <rPr>
        <rFont val="arial,sans,sans-serif"/>
        <i/>
      </rPr>
      <t>semis</t>
    </r>
  </si>
  <si>
    <r>
      <rPr>
        <rFont val="Arial"/>
      </rPr>
      <t xml:space="preserve">Tuesday (10/27) </t>
    </r>
    <r>
      <rPr>
        <rFont val="Arial"/>
        <i/>
      </rPr>
      <t>finals</t>
    </r>
  </si>
  <si>
    <t xml:space="preserve">Wednesday (10/28) </t>
  </si>
  <si>
    <t>Thursday (10/29)</t>
  </si>
  <si>
    <t>DC</t>
  </si>
  <si>
    <t>SM</t>
  </si>
  <si>
    <t>ES</t>
  </si>
  <si>
    <t>BR</t>
  </si>
  <si>
    <t>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</si>
</sst>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7">
    <font>
      <sz val="10.0"/>
      <color rgb="FF000000"/>
      <name val="Arial"/>
    </font>
    <font>
      <b/>
      <name val="Arial"/>
    </font>
    <font>
      <name val="Arial"/>
    </font>
    <font>
      <sz val="11.0"/>
      <color rgb="FF000000"/>
      <name val="Inconsolata"/>
    </font>
    <font/>
    <font>
      <b/>
      <sz val="18.0"/>
      <color rgb="FFFFFFFF"/>
      <name val="Arial"/>
    </font>
    <font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22">
    <border/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B7B7B7"/>
      </left>
      <top style="thick">
        <color rgb="FFB7B7B7"/>
      </top>
    </border>
    <border>
      <top style="thick">
        <color rgb="FFB7B7B7"/>
      </top>
    </border>
    <border>
      <right style="thick">
        <color rgb="FFB7B7B7"/>
      </right>
      <top style="thick">
        <color rgb="FFB7B7B7"/>
      </top>
    </border>
    <border>
      <left style="thick">
        <color rgb="FFB7B7B7"/>
      </left>
      <bottom style="thick">
        <color rgb="FFB7B7B7"/>
      </bottom>
    </border>
    <border>
      <bottom style="thick">
        <color rgb="FFB7B7B7"/>
      </bottom>
    </border>
    <border>
      <right style="thick">
        <color rgb="FFB7B7B7"/>
      </right>
      <bottom style="thick">
        <color rgb="FFB7B7B7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vertical="bottom"/>
    </xf>
    <xf borderId="0" fillId="0" fontId="2" numFmtId="0" xfId="0" applyFont="1"/>
    <xf borderId="0" fillId="4" fontId="3" numFmtId="0" xfId="0" applyAlignment="1" applyFill="1" applyFont="1">
      <alignment vertical="bottom"/>
    </xf>
    <xf borderId="2" fillId="2" fontId="2" numFmtId="0" xfId="0" applyAlignment="1" applyBorder="1" applyFill="1" applyFont="1">
      <alignment vertical="bottom"/>
    </xf>
    <xf borderId="0" fillId="2" fontId="2" numFmtId="0" xfId="0" applyAlignment="1" applyFill="1" applyFont="1">
      <alignment horizontal="right" vertical="bottom"/>
    </xf>
    <xf borderId="3" fillId="0" fontId="2" numFmtId="0" xfId="0" applyAlignment="1" applyBorder="1" applyFont="1">
      <alignment vertical="bottom"/>
    </xf>
    <xf borderId="4" fillId="3" fontId="2" numFmtId="0" xfId="0" applyAlignment="1" applyBorder="1" applyFill="1" applyFont="1">
      <alignment vertical="bottom"/>
    </xf>
    <xf borderId="5" fillId="2" fontId="2" numFmtId="0" xfId="0" applyAlignment="1" applyBorder="1" applyFill="1" applyFont="1">
      <alignment readingOrder="0" vertical="bottom"/>
    </xf>
    <xf borderId="1" fillId="2" fontId="2" numFmtId="0" xfId="0" applyAlignment="1" applyBorder="1" applyFill="1" applyFont="1">
      <alignment vertical="bottom"/>
    </xf>
    <xf borderId="5" fillId="2" fontId="2" numFmtId="0" xfId="0" applyAlignment="1" applyBorder="1" applyFill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5" fillId="3" fontId="2" numFmtId="0" xfId="0" applyAlignment="1" applyBorder="1" applyFill="1" applyFont="1">
      <alignment readingOrder="0" vertical="bottom"/>
    </xf>
    <xf borderId="5" fillId="3" fontId="2" numFmtId="0" xfId="0" applyAlignment="1" applyBorder="1" applyFill="1" applyFont="1">
      <alignment vertical="bottom"/>
    </xf>
    <xf borderId="8" fillId="3" fontId="2" numFmtId="0" xfId="0" applyAlignment="1" applyBorder="1" applyFill="1" applyFont="1">
      <alignment vertical="bottom"/>
    </xf>
    <xf borderId="0" fillId="2" fontId="2" numFmtId="0" xfId="0" applyAlignment="1" applyFill="1" applyFont="1">
      <alignment vertical="bottom"/>
    </xf>
    <xf borderId="4" fillId="2" fontId="2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9" fillId="0" fontId="2" numFmtId="0" xfId="0" applyAlignment="1" applyBorder="1" applyFont="1">
      <alignment horizontal="center" vertical="bottom"/>
    </xf>
    <xf borderId="10" fillId="0" fontId="4" numFmtId="0" xfId="0" applyBorder="1" applyFont="1"/>
    <xf borderId="5" fillId="5" fontId="2" numFmtId="0" xfId="0" applyAlignment="1" applyBorder="1" applyFill="1" applyFont="1">
      <alignment vertical="bottom"/>
    </xf>
    <xf borderId="11" fillId="0" fontId="4" numFmtId="0" xfId="0" applyBorder="1" applyFont="1"/>
    <xf borderId="0" fillId="0" fontId="2" numFmtId="0" xfId="0" applyAlignment="1" applyFont="1">
      <alignment readingOrder="0" vertical="bottom"/>
    </xf>
    <xf borderId="5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5" fillId="0" fontId="2" numFmtId="164" xfId="0" applyAlignment="1" applyBorder="1" applyFont="1" applyNumberFormat="1">
      <alignment vertical="bottom"/>
    </xf>
    <xf borderId="12" fillId="3" fontId="2" numFmtId="0" xfId="0" applyAlignment="1" applyBorder="1" applyFill="1" applyFont="1">
      <alignment horizontal="center" vertical="bottom"/>
    </xf>
    <xf borderId="5" fillId="0" fontId="2" numFmtId="0" xfId="0" applyAlignment="1" applyBorder="1" applyFont="1">
      <alignment readingOrder="0" vertical="bottom"/>
    </xf>
    <xf borderId="5" fillId="0" fontId="2" numFmtId="164" xfId="0" applyAlignment="1" applyBorder="1" applyFont="1" applyNumberFormat="1">
      <alignment horizontal="right" vertical="bottom"/>
    </xf>
    <xf borderId="12" fillId="2" fontId="2" numFmtId="0" xfId="0" applyAlignment="1" applyBorder="1" applyFill="1" applyFont="1">
      <alignment horizontal="center" vertical="bottom"/>
    </xf>
    <xf borderId="13" fillId="0" fontId="2" numFmtId="0" xfId="0" applyAlignment="1" applyBorder="1" applyFont="1">
      <alignment vertical="bottom"/>
    </xf>
    <xf borderId="5" fillId="4" fontId="2" numFmtId="0" xfId="0" applyAlignment="1" applyBorder="1" applyFill="1" applyFont="1">
      <alignment readingOrder="0" vertical="bottom"/>
    </xf>
    <xf borderId="14" fillId="0" fontId="4" numFmtId="0" xfId="0" applyBorder="1" applyFont="1"/>
    <xf borderId="15" fillId="0" fontId="4" numFmtId="0" xfId="0" applyBorder="1" applyFont="1"/>
    <xf borderId="13" fillId="4" fontId="3" numFmtId="0" xfId="0" applyAlignment="1" applyBorder="1" applyFill="1" applyFont="1">
      <alignment vertical="bottom"/>
    </xf>
    <xf borderId="13" fillId="0" fontId="4" numFmtId="0" xfId="0" applyBorder="1" applyFont="1"/>
    <xf borderId="9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9" fillId="0" fontId="2" numFmtId="0" xfId="0" applyAlignment="1" applyBorder="1" applyFont="1">
      <alignment horizontal="center" vertical="bottom"/>
    </xf>
    <xf borderId="9" fillId="0" fontId="2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0" fontId="2" numFmtId="20" xfId="0" applyAlignment="1" applyFont="1" applyNumberFormat="1">
      <alignment vertical="bottom"/>
    </xf>
    <xf borderId="16" fillId="6" fontId="5" numFmtId="0" xfId="0" applyAlignment="1" applyBorder="1" applyFill="1" applyFont="1">
      <alignment horizontal="center" vertical="bottom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0" fillId="0" fontId="1" numFmtId="164" xfId="0" applyAlignment="1" applyFont="1" applyNumberFormat="1">
      <alignment vertical="bottom"/>
    </xf>
    <xf borderId="9" fillId="0" fontId="2" numFmtId="0" xfId="0" applyAlignment="1" applyBorder="1" applyFont="1">
      <alignment horizontal="center" vertical="bottom"/>
    </xf>
    <xf borderId="5" fillId="2" fontId="2" numFmtId="164" xfId="0" applyAlignment="1" applyBorder="1" applyFill="1" applyFont="1" applyNumberFormat="1">
      <alignment horizontal="center" vertical="bottom"/>
    </xf>
    <xf borderId="5" fillId="5" fontId="2" numFmtId="0" xfId="0" applyAlignment="1" applyBorder="1" applyFill="1" applyFont="1">
      <alignment horizontal="center" vertical="bottom"/>
    </xf>
    <xf borderId="5" fillId="3" fontId="2" numFmtId="0" xfId="0" applyAlignment="1" applyBorder="1" applyFill="1" applyFont="1">
      <alignment horizontal="center" vertical="bottom"/>
    </xf>
    <xf borderId="0" fillId="4" fontId="6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11" max="11" width="12.13"/>
  </cols>
  <sheetData>
    <row r="1">
      <c r="A1" s="6" t="s">
        <v>9</v>
      </c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>
      <c r="A6" s="16" t="s">
        <v>11</v>
      </c>
      <c r="B6" s="18"/>
      <c r="C6" s="18"/>
      <c r="D6" s="6"/>
      <c r="E6" s="6"/>
      <c r="F6" s="6"/>
      <c r="G6" s="6"/>
      <c r="H6" s="6"/>
      <c r="I6" s="6"/>
      <c r="J6" s="6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21" t="s">
        <v>12</v>
      </c>
      <c r="B7" s="22"/>
      <c r="C7" s="22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>
      <c r="A9" s="26" t="s">
        <v>13</v>
      </c>
      <c r="B9" s="4"/>
      <c r="C9" s="5"/>
      <c r="D9" s="4"/>
      <c r="E9" s="4"/>
      <c r="F9" s="4"/>
      <c r="G9" s="4"/>
      <c r="H9" s="4"/>
      <c r="I9" s="4"/>
      <c r="J9" s="4"/>
      <c r="K9" s="4"/>
      <c r="L9" s="4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>
      <c r="A10" s="27" t="s">
        <v>14</v>
      </c>
      <c r="B10" s="28"/>
      <c r="C10" s="30"/>
      <c r="D10" s="27" t="s">
        <v>16</v>
      </c>
      <c r="E10" s="28"/>
      <c r="F10" s="30"/>
      <c r="G10" s="27" t="s">
        <v>18</v>
      </c>
      <c r="H10" s="28"/>
      <c r="I10" s="30"/>
      <c r="J10" s="27" t="s">
        <v>19</v>
      </c>
      <c r="K10" s="30"/>
      <c r="L10" s="32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>
      <c r="A11" s="33"/>
      <c r="B11" s="34"/>
      <c r="C11" s="35"/>
      <c r="D11" s="36" t="s">
        <v>20</v>
      </c>
      <c r="E11" s="37" t="s">
        <v>21</v>
      </c>
      <c r="F11" s="38">
        <v>0.8333333333333334</v>
      </c>
      <c r="G11" s="39" t="s">
        <v>20</v>
      </c>
      <c r="H11" s="37" t="s">
        <v>22</v>
      </c>
      <c r="I11" s="38">
        <v>0.8333333333333334</v>
      </c>
      <c r="J11" s="36" t="s">
        <v>20</v>
      </c>
      <c r="K11" s="41" t="s">
        <v>24</v>
      </c>
      <c r="L11" s="38">
        <v>0.8333333333333334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>
      <c r="A12" s="42"/>
      <c r="B12" s="34"/>
      <c r="C12" s="35"/>
      <c r="D12" s="42"/>
      <c r="E12" s="37" t="s">
        <v>25</v>
      </c>
      <c r="F12" s="38">
        <v>0.875</v>
      </c>
      <c r="G12" s="42"/>
      <c r="H12" s="37" t="s">
        <v>26</v>
      </c>
      <c r="I12" s="38">
        <v>0.875</v>
      </c>
      <c r="J12" s="42"/>
      <c r="K12" s="37" t="s">
        <v>27</v>
      </c>
      <c r="L12" s="38">
        <v>0.875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>
      <c r="A13" s="43"/>
      <c r="B13" s="34"/>
      <c r="C13" s="35"/>
      <c r="D13" s="43"/>
      <c r="E13" s="37" t="s">
        <v>28</v>
      </c>
      <c r="F13" s="38">
        <v>0.9166666666666666</v>
      </c>
      <c r="G13" s="43"/>
      <c r="H13" s="37" t="s">
        <v>29</v>
      </c>
      <c r="I13" s="38">
        <v>0.9166666666666666</v>
      </c>
      <c r="J13" s="43"/>
      <c r="K13" s="37" t="s">
        <v>30</v>
      </c>
      <c r="L13" s="38">
        <v>0.9166666666666666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>
      <c r="A14" s="4"/>
      <c r="B14" s="4"/>
      <c r="C14" s="4"/>
      <c r="D14" s="5"/>
      <c r="E14" s="5"/>
      <c r="F14" s="5"/>
      <c r="G14" s="5"/>
      <c r="H14" s="5"/>
      <c r="I14" s="5"/>
      <c r="J14" s="4"/>
      <c r="K14" s="4"/>
      <c r="L14" s="4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>
      <c r="A15" s="4"/>
      <c r="B15" s="4"/>
      <c r="C15" s="4"/>
      <c r="D15" s="4"/>
      <c r="E15" s="4"/>
      <c r="F15" s="4"/>
      <c r="G15" s="4"/>
      <c r="H15" s="5"/>
      <c r="I15" s="4"/>
      <c r="J15" s="4"/>
      <c r="K15" s="4"/>
      <c r="L15" s="4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>
      <c r="A16" s="26" t="s">
        <v>31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>
      <c r="A17" s="46" t="s">
        <v>32</v>
      </c>
      <c r="B17" s="28"/>
      <c r="C17" s="30"/>
      <c r="D17" s="47" t="s">
        <v>33</v>
      </c>
      <c r="E17" s="28"/>
      <c r="F17" s="30"/>
      <c r="G17" s="27" t="s">
        <v>35</v>
      </c>
      <c r="H17" s="28"/>
      <c r="I17" s="30"/>
      <c r="J17" s="27" t="s">
        <v>36</v>
      </c>
      <c r="K17" s="30"/>
      <c r="L17" s="32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>
      <c r="A18" s="36" t="s">
        <v>20</v>
      </c>
      <c r="B18" s="37" t="s">
        <v>37</v>
      </c>
      <c r="C18" s="38">
        <v>0.8333333333333334</v>
      </c>
      <c r="D18" s="39"/>
      <c r="E18" s="41"/>
      <c r="F18" s="38"/>
      <c r="G18" s="36" t="s">
        <v>20</v>
      </c>
      <c r="H18" s="41" t="s">
        <v>38</v>
      </c>
      <c r="I18" s="38">
        <v>0.8333333333333334</v>
      </c>
      <c r="J18" s="39" t="s">
        <v>20</v>
      </c>
      <c r="K18" s="41" t="s">
        <v>39</v>
      </c>
      <c r="L18" s="38">
        <v>0.8333333333333334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>
      <c r="A19" s="42"/>
      <c r="B19" s="37" t="s">
        <v>40</v>
      </c>
      <c r="C19" s="38">
        <v>0.875</v>
      </c>
      <c r="D19" s="42"/>
      <c r="E19" s="41"/>
      <c r="F19" s="38"/>
      <c r="G19" s="42"/>
      <c r="H19" s="37" t="s">
        <v>41</v>
      </c>
      <c r="I19" s="38">
        <v>0.875</v>
      </c>
      <c r="J19" s="42"/>
      <c r="K19" s="41" t="s">
        <v>42</v>
      </c>
      <c r="L19" s="38">
        <v>0.875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>
      <c r="A20" s="43"/>
      <c r="B20" s="37" t="s">
        <v>43</v>
      </c>
      <c r="C20" s="38">
        <v>0.9166666666666666</v>
      </c>
      <c r="D20" s="43"/>
      <c r="E20" s="37"/>
      <c r="F20" s="38"/>
      <c r="G20" s="43"/>
      <c r="H20" s="37" t="s">
        <v>44</v>
      </c>
      <c r="I20" s="38">
        <v>0.9166666666666666</v>
      </c>
      <c r="J20" s="43"/>
      <c r="K20" s="41" t="s">
        <v>45</v>
      </c>
      <c r="L20" s="38">
        <v>0.9166666666666666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>
      <c r="A21" s="4"/>
      <c r="B21" s="4"/>
      <c r="C21" s="4"/>
      <c r="D21" s="5"/>
      <c r="E21" s="5"/>
      <c r="F21" s="5"/>
      <c r="G21" s="5"/>
      <c r="H21" s="5"/>
      <c r="I21" s="5"/>
      <c r="J21" s="4"/>
      <c r="K21" s="4"/>
      <c r="L21" s="4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>
      <c r="A23" s="26" t="s">
        <v>46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>
      <c r="A24" s="27" t="s">
        <v>48</v>
      </c>
      <c r="B24" s="28"/>
      <c r="C24" s="30"/>
      <c r="D24" s="27" t="s">
        <v>49</v>
      </c>
      <c r="E24" s="28"/>
      <c r="F24" s="30"/>
      <c r="G24" s="27" t="s">
        <v>50</v>
      </c>
      <c r="H24" s="28"/>
      <c r="I24" s="30"/>
      <c r="J24" s="27" t="s">
        <v>51</v>
      </c>
      <c r="K24" s="28"/>
      <c r="L24" s="3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>
      <c r="A25" s="33"/>
      <c r="B25" s="48"/>
      <c r="C25" s="35"/>
      <c r="D25" s="36" t="s">
        <v>20</v>
      </c>
      <c r="E25" s="37" t="s">
        <v>52</v>
      </c>
      <c r="F25" s="38">
        <v>0.8333333333333334</v>
      </c>
      <c r="G25" s="39" t="s">
        <v>20</v>
      </c>
      <c r="H25" s="37" t="s">
        <v>53</v>
      </c>
      <c r="I25" s="38">
        <v>0.8333333333333334</v>
      </c>
      <c r="J25" s="39" t="s">
        <v>20</v>
      </c>
      <c r="K25" s="37" t="s">
        <v>54</v>
      </c>
      <c r="L25" s="38">
        <v>0.8333333333333334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>
      <c r="A26" s="42"/>
      <c r="B26" s="48"/>
      <c r="C26" s="35"/>
      <c r="D26" s="42"/>
      <c r="E26" s="37" t="s">
        <v>55</v>
      </c>
      <c r="F26" s="38">
        <v>0.875</v>
      </c>
      <c r="G26" s="42"/>
      <c r="H26" s="37" t="s">
        <v>56</v>
      </c>
      <c r="I26" s="38">
        <v>0.875</v>
      </c>
      <c r="J26" s="42"/>
      <c r="K26" s="37" t="s">
        <v>57</v>
      </c>
      <c r="L26" s="38">
        <v>0.875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>
      <c r="A27" s="43"/>
      <c r="B27" s="48"/>
      <c r="C27" s="35"/>
      <c r="D27" s="43"/>
      <c r="E27" s="37" t="s">
        <v>58</v>
      </c>
      <c r="F27" s="38">
        <v>0.9166666666666666</v>
      </c>
      <c r="G27" s="43"/>
      <c r="H27" s="37" t="s">
        <v>59</v>
      </c>
      <c r="I27" s="38">
        <v>0.9166666666666666</v>
      </c>
      <c r="J27" s="43"/>
      <c r="K27" s="37" t="s">
        <v>60</v>
      </c>
      <c r="L27" s="38">
        <v>0.9166666666666666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>
      <c r="A28" s="4"/>
      <c r="B28" s="4"/>
      <c r="C28" s="4"/>
      <c r="D28" s="5"/>
      <c r="E28" s="5"/>
      <c r="F28" s="5"/>
      <c r="G28" s="5"/>
      <c r="H28" s="5"/>
      <c r="I28" s="5"/>
      <c r="J28" s="4"/>
      <c r="K28" s="4"/>
      <c r="L28" s="4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>
      <c r="A30" s="26" t="s">
        <v>61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>
      <c r="A31" s="46" t="s">
        <v>63</v>
      </c>
      <c r="B31" s="28"/>
      <c r="C31" s="30"/>
      <c r="D31" s="27" t="s">
        <v>64</v>
      </c>
      <c r="E31" s="28"/>
      <c r="F31" s="30"/>
      <c r="G31" s="27" t="s">
        <v>65</v>
      </c>
      <c r="H31" s="28"/>
      <c r="I31" s="30"/>
      <c r="J31" s="27" t="s">
        <v>66</v>
      </c>
      <c r="K31" s="28"/>
      <c r="L31" s="3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>
      <c r="A32" s="39" t="s">
        <v>20</v>
      </c>
      <c r="B32" s="37" t="s">
        <v>67</v>
      </c>
      <c r="C32" s="38">
        <v>0.8333333333333334</v>
      </c>
      <c r="D32" s="36" t="s">
        <v>20</v>
      </c>
      <c r="E32" s="37" t="s">
        <v>68</v>
      </c>
      <c r="F32" s="38">
        <v>0.8333333333333334</v>
      </c>
      <c r="G32" s="39" t="s">
        <v>20</v>
      </c>
      <c r="H32" s="37" t="s">
        <v>69</v>
      </c>
      <c r="I32" s="38">
        <v>0.8333333333333334</v>
      </c>
      <c r="J32" s="36" t="s">
        <v>20</v>
      </c>
      <c r="K32" s="37" t="s">
        <v>70</v>
      </c>
      <c r="L32" s="38">
        <v>0.8333333333333334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>
      <c r="A33" s="42"/>
      <c r="B33" s="37" t="s">
        <v>71</v>
      </c>
      <c r="C33" s="38">
        <v>0.875</v>
      </c>
      <c r="D33" s="42"/>
      <c r="E33" s="37" t="s">
        <v>72</v>
      </c>
      <c r="F33" s="38">
        <v>0.875</v>
      </c>
      <c r="G33" s="42"/>
      <c r="H33" s="37" t="s">
        <v>73</v>
      </c>
      <c r="I33" s="38">
        <v>0.875</v>
      </c>
      <c r="J33" s="42"/>
      <c r="K33" s="37" t="s">
        <v>74</v>
      </c>
      <c r="L33" s="38">
        <v>0.875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>
      <c r="A34" s="43"/>
      <c r="B34" s="37" t="s">
        <v>75</v>
      </c>
      <c r="C34" s="38">
        <v>0.9166666666666666</v>
      </c>
      <c r="D34" s="43"/>
      <c r="E34" s="37" t="s">
        <v>76</v>
      </c>
      <c r="F34" s="38">
        <v>0.9166666666666666</v>
      </c>
      <c r="G34" s="43"/>
      <c r="H34" s="37" t="s">
        <v>77</v>
      </c>
      <c r="I34" s="38">
        <v>0.9166666666666666</v>
      </c>
      <c r="J34" s="43"/>
      <c r="K34" s="37" t="s">
        <v>78</v>
      </c>
      <c r="L34" s="38">
        <v>0.9166666666666666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>
      <c r="A35" s="4"/>
      <c r="B35" s="4"/>
      <c r="C35" s="4"/>
      <c r="D35" s="5"/>
      <c r="E35" s="5"/>
      <c r="F35" s="5"/>
      <c r="G35" s="5"/>
      <c r="H35" s="5"/>
      <c r="I35" s="5"/>
      <c r="J35" s="4"/>
      <c r="K35" s="4"/>
      <c r="L35" s="4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>
      <c r="A37" s="49" t="s">
        <v>79</v>
      </c>
      <c r="B37" s="49" t="s">
        <v>80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>
      <c r="A38" s="50" t="s">
        <v>82</v>
      </c>
      <c r="B38" s="28"/>
      <c r="C38" s="30"/>
      <c r="D38" s="51" t="s">
        <v>83</v>
      </c>
      <c r="E38" s="28"/>
      <c r="F38" s="30"/>
      <c r="G38" s="51" t="s">
        <v>84</v>
      </c>
      <c r="H38" s="28"/>
      <c r="I38" s="30"/>
      <c r="J38" s="51" t="s">
        <v>85</v>
      </c>
      <c r="K38" s="28"/>
      <c r="L38" s="3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>
      <c r="A39" s="39" t="s">
        <v>20</v>
      </c>
      <c r="B39" s="41" t="s">
        <v>86</v>
      </c>
      <c r="C39" s="38">
        <v>0.8333333333333334</v>
      </c>
      <c r="D39" s="36" t="s">
        <v>20</v>
      </c>
      <c r="E39" s="48"/>
      <c r="F39" s="38">
        <v>0.8333333333333334</v>
      </c>
      <c r="G39" s="39" t="s">
        <v>20</v>
      </c>
      <c r="H39" s="48"/>
      <c r="I39" s="38">
        <v>0.8333333333333334</v>
      </c>
      <c r="J39" s="36" t="s">
        <v>20</v>
      </c>
      <c r="K39" s="48"/>
      <c r="L39" s="38">
        <v>0.8333333333333334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>
      <c r="A40" s="42"/>
      <c r="B40" s="41" t="s">
        <v>87</v>
      </c>
      <c r="C40" s="38">
        <v>0.875</v>
      </c>
      <c r="D40" s="42"/>
      <c r="E40" s="48"/>
      <c r="F40" s="38">
        <v>0.875</v>
      </c>
      <c r="G40" s="43"/>
      <c r="H40" s="48"/>
      <c r="I40" s="38">
        <v>0.875</v>
      </c>
      <c r="J40" s="43"/>
      <c r="K40" s="48"/>
      <c r="L40" s="38">
        <v>0.875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>
      <c r="A41" s="43"/>
      <c r="B41" s="37" t="s">
        <v>88</v>
      </c>
      <c r="C41" s="38">
        <v>0.9166666666666666</v>
      </c>
      <c r="D41" s="43"/>
      <c r="E41" s="35"/>
      <c r="F41" s="38">
        <v>0.9166666666666666</v>
      </c>
      <c r="G41" s="52"/>
      <c r="H41" s="52"/>
      <c r="I41" s="52"/>
      <c r="J41" s="52"/>
      <c r="K41" s="52"/>
      <c r="L41" s="5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>
      <c r="A42" s="5"/>
      <c r="B42" s="52"/>
      <c r="C42" s="52"/>
      <c r="D42" s="52"/>
      <c r="E42" s="52"/>
      <c r="F42" s="52"/>
      <c r="G42" s="52"/>
      <c r="H42" s="52"/>
      <c r="I42" s="52"/>
      <c r="J42" s="52"/>
      <c r="L42" s="5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>
      <c r="A43" s="5"/>
      <c r="B43" s="52"/>
      <c r="C43" s="52"/>
      <c r="D43" s="52"/>
      <c r="E43" s="52"/>
      <c r="F43" s="52"/>
      <c r="G43" s="52"/>
      <c r="H43" s="52"/>
      <c r="I43" s="52"/>
      <c r="J43" s="52"/>
      <c r="L43" s="52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>
      <c r="A44" s="26" t="s">
        <v>90</v>
      </c>
      <c r="B44" s="5"/>
      <c r="C44" s="52"/>
      <c r="D44" s="5"/>
      <c r="E44" s="5"/>
      <c r="F44" s="52"/>
      <c r="G44" s="5"/>
      <c r="H44" s="5"/>
      <c r="I44" s="52"/>
      <c r="J44" s="5"/>
      <c r="K44" s="5"/>
      <c r="L44" s="52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>
      <c r="A45" s="46" t="s">
        <v>91</v>
      </c>
      <c r="B45" s="28"/>
      <c r="C45" s="30"/>
      <c r="D45" s="27" t="s">
        <v>92</v>
      </c>
      <c r="E45" s="28"/>
      <c r="F45" s="30"/>
      <c r="G45" s="27" t="s">
        <v>93</v>
      </c>
      <c r="H45" s="28"/>
      <c r="I45" s="30"/>
      <c r="J45" s="27" t="s">
        <v>94</v>
      </c>
      <c r="K45" s="28"/>
      <c r="L45" s="3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>
      <c r="A46" s="5"/>
      <c r="B46" s="5"/>
      <c r="C46" s="52"/>
      <c r="D46" s="52"/>
      <c r="E46" s="52"/>
      <c r="F46" s="52"/>
      <c r="G46" s="52"/>
      <c r="H46" s="52"/>
      <c r="I46" s="55"/>
      <c r="J46" s="52"/>
      <c r="K46" s="52"/>
      <c r="L46" s="52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>
      <c r="A47" s="56" t="s">
        <v>95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8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>
      <c r="A48" s="5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1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2"/>
      <c r="L49" s="52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>
      <c r="A50" s="5"/>
      <c r="B50" s="5"/>
      <c r="C50" s="52"/>
      <c r="D50" s="5"/>
      <c r="E50" s="5"/>
      <c r="F50" s="52"/>
      <c r="G50" s="52"/>
      <c r="H50" s="5"/>
      <c r="I50" s="52"/>
      <c r="J50" s="5"/>
      <c r="K50" s="52"/>
      <c r="L50" s="52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>
      <c r="A51" s="26" t="s">
        <v>97</v>
      </c>
      <c r="B51" s="62" t="s">
        <v>80</v>
      </c>
      <c r="C51" s="52"/>
      <c r="D51" s="5"/>
      <c r="E51" s="5"/>
      <c r="F51" s="52"/>
      <c r="G51" s="52"/>
      <c r="H51" s="5"/>
      <c r="I51" s="52"/>
      <c r="J51" s="5"/>
      <c r="K51" s="5"/>
      <c r="L51" s="52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>
      <c r="A52" s="46" t="s">
        <v>98</v>
      </c>
      <c r="B52" s="28"/>
      <c r="C52" s="30"/>
      <c r="D52" s="27" t="s">
        <v>99</v>
      </c>
      <c r="E52" s="28"/>
      <c r="F52" s="30"/>
      <c r="G52" s="51" t="s">
        <v>100</v>
      </c>
      <c r="H52" s="28"/>
      <c r="I52" s="30"/>
      <c r="J52" s="63" t="s">
        <v>101</v>
      </c>
      <c r="K52" s="28"/>
      <c r="L52" s="3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>
      <c r="A53" s="64" t="s">
        <v>20</v>
      </c>
      <c r="B53" s="48"/>
      <c r="C53" s="38">
        <v>0.8333333333333334</v>
      </c>
      <c r="D53" s="65" t="s">
        <v>20</v>
      </c>
      <c r="E53" s="48"/>
      <c r="F53" s="38">
        <v>0.8333333333333334</v>
      </c>
      <c r="G53" s="32"/>
      <c r="H53" s="32"/>
      <c r="I53" s="35"/>
      <c r="J53" s="32"/>
      <c r="K53" s="32"/>
      <c r="L53" s="35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>
      <c r="A54" s="66" t="s">
        <v>20</v>
      </c>
      <c r="B54" s="32"/>
      <c r="C54" s="38">
        <v>0.875</v>
      </c>
      <c r="D54" s="4"/>
      <c r="E54" s="4"/>
      <c r="F54" s="52"/>
      <c r="G54" s="4"/>
      <c r="H54" s="4"/>
      <c r="I54" s="52"/>
      <c r="J54" s="4"/>
      <c r="K54" s="4"/>
      <c r="L54" s="52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</sheetData>
  <mergeCells count="52">
    <mergeCell ref="J39:J40"/>
    <mergeCell ref="J42:K42"/>
    <mergeCell ref="J43:K43"/>
    <mergeCell ref="J52:L52"/>
    <mergeCell ref="A39:A41"/>
    <mergeCell ref="A52:C52"/>
    <mergeCell ref="D52:F52"/>
    <mergeCell ref="G52:I52"/>
    <mergeCell ref="A38:C38"/>
    <mergeCell ref="D38:F38"/>
    <mergeCell ref="G38:I38"/>
    <mergeCell ref="J38:L38"/>
    <mergeCell ref="D39:D41"/>
    <mergeCell ref="G39:G40"/>
    <mergeCell ref="A47:L48"/>
    <mergeCell ref="A1:AD4"/>
    <mergeCell ref="A10:C10"/>
    <mergeCell ref="D10:F10"/>
    <mergeCell ref="G10:I10"/>
    <mergeCell ref="A11:A13"/>
    <mergeCell ref="D11:D13"/>
    <mergeCell ref="G11:G13"/>
    <mergeCell ref="J10:K10"/>
    <mergeCell ref="J11:J13"/>
    <mergeCell ref="A17:C17"/>
    <mergeCell ref="D17:F17"/>
    <mergeCell ref="G17:I17"/>
    <mergeCell ref="J17:K17"/>
    <mergeCell ref="A18:A20"/>
    <mergeCell ref="J18:J20"/>
    <mergeCell ref="G18:G20"/>
    <mergeCell ref="G25:G27"/>
    <mergeCell ref="D18:D20"/>
    <mergeCell ref="A24:C24"/>
    <mergeCell ref="D24:F24"/>
    <mergeCell ref="G24:I24"/>
    <mergeCell ref="J24:L24"/>
    <mergeCell ref="D25:D27"/>
    <mergeCell ref="J25:J27"/>
    <mergeCell ref="G32:G34"/>
    <mergeCell ref="J32:J34"/>
    <mergeCell ref="A25:A27"/>
    <mergeCell ref="A31:C31"/>
    <mergeCell ref="D31:F31"/>
    <mergeCell ref="G31:I31"/>
    <mergeCell ref="J31:L31"/>
    <mergeCell ref="A32:A34"/>
    <mergeCell ref="D32:D34"/>
    <mergeCell ref="A45:C45"/>
    <mergeCell ref="D45:F45"/>
    <mergeCell ref="G45:I45"/>
    <mergeCell ref="J45:L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5" width="12.63"/>
    <col hidden="1" min="8" max="8" width="12.63"/>
  </cols>
  <sheetData>
    <row r="1">
      <c r="A1" s="2" t="str">
        <f>IFERROR(__xludf.DUMMYFUNCTION("IMPORTRANGE(""https://docs.google.com/spreadsheets/d/1qWleZhA-eYYMtqY3q7iNrJQoWCGPPoNQkbbp29eyk50/edit?usp=sharing"", ""sheet1!C1:F1000"")"),"#REF!")</f>
        <v>#REF!</v>
      </c>
      <c r="B1" s="3"/>
      <c r="C1" s="3"/>
      <c r="D1" s="3"/>
      <c r="E1" s="3" t="s">
        <v>4</v>
      </c>
      <c r="F1" s="3" t="s">
        <v>5</v>
      </c>
      <c r="G1" s="2" t="str">
        <f>IFERROR(__xludf.DUMMYFUNCTION("IMPORTRANGE(""https://docs.google.com/spreadsheets/d/1qWleZhA-eYYMtqY3q7iNrJQoWCGPPoNQkbbp29eyk50/edit?usp=sharing"", ""sheet1!G1:G1000"")"),"#REF!")</f>
        <v>#REF!</v>
      </c>
      <c r="H1" s="3" t="s">
        <v>8</v>
      </c>
    </row>
    <row r="2">
      <c r="A2" s="3"/>
      <c r="B2" s="3"/>
      <c r="C2" s="3"/>
      <c r="D2" s="3"/>
      <c r="E2" s="11" t="str">
        <f>IF(Results!$B2&gt;Results!$D2,"Home",IF(Results!$B2=Results!$D2,"Draw",IF(Results!$B2&lt;Results!$D2,"Away","?")))</f>
        <v>Draw</v>
      </c>
      <c r="F2" s="11" t="str">
        <f>IF(ISBLANK(A2),"",IF(Results!$B2&gt;Results!$D2,$A2,IF(Results!$B2=Results!$D2,"Draw",IF(Results!$B2&lt;Results!$D2,$C2,"?"))))</f>
        <v/>
      </c>
      <c r="G2" s="3"/>
      <c r="H2" s="2" t="str">
        <f>IFERROR(__xludf.DUMMYFUNCTION("IMPORTRANGE(""https://docs.google.com/spreadsheets/d/1qWleZhA-eYYMtqY3q7iNrJQoWCGPPoNQkbbp29eyk50/edit?usp=sharing"", ""sheet1!J2:J1000"")"),"#REF!")</f>
        <v>#REF!</v>
      </c>
    </row>
    <row r="3">
      <c r="A3" s="3"/>
      <c r="B3" s="3"/>
      <c r="C3" s="3"/>
      <c r="D3" s="3"/>
      <c r="E3" s="11" t="str">
        <f>IF(Results!$B3&gt;Results!$D3,"Home",IF(Results!$B3=Results!$D3,"Draw",IF(Results!$B3&lt;Results!$D3,"Away","?")))</f>
        <v>Draw</v>
      </c>
      <c r="F3" s="11" t="str">
        <f>IF(ISBLANK(A3),"",IF(Results!$B3&gt;Results!$D3,$A3,IF(Results!$B3=Results!$D3,"Draw",IF(Results!$B3&lt;Results!$D3,$C3,"?"))))</f>
        <v/>
      </c>
      <c r="G3" s="3"/>
    </row>
    <row r="4">
      <c r="A4" s="3"/>
      <c r="B4" s="3"/>
      <c r="C4" s="3"/>
      <c r="D4" s="3"/>
      <c r="E4" s="11" t="str">
        <f>IF(Results!$B4&gt;Results!$D4,"Home",IF(Results!$B4=Results!$D4,"Draw",IF(Results!$B4&lt;Results!$D4,"Away","?")))</f>
        <v>Draw</v>
      </c>
      <c r="F4" s="11" t="str">
        <f>IF(ISBLANK(A4),"",IF(Results!$B4&gt;Results!$D4,$A4,IF(Results!$B4=Results!$D4,"Draw",IF(Results!$B4&lt;Results!$D4,$C4,"?"))))</f>
        <v/>
      </c>
      <c r="G4" s="3"/>
    </row>
    <row r="5">
      <c r="A5" s="3"/>
      <c r="B5" s="3"/>
      <c r="C5" s="3"/>
      <c r="D5" s="3"/>
      <c r="E5" s="11" t="str">
        <f>IF(Results!$B5&gt;Results!$D5,"Home",IF(Results!$B5=Results!$D5,"Draw",IF(Results!$B5&lt;Results!$D5,"Away","?")))</f>
        <v>Draw</v>
      </c>
      <c r="F5" s="11" t="str">
        <f>IF(ISBLANK(A5),"",IF(Results!$B5&gt;Results!$D5,$A5,IF(Results!$B5=Results!$D5,"Draw",IF(Results!$B5&lt;Results!$D5,$C5,"?"))))</f>
        <v/>
      </c>
      <c r="G5" s="3"/>
    </row>
    <row r="6">
      <c r="A6" s="3"/>
      <c r="B6" s="3"/>
      <c r="C6" s="3"/>
      <c r="D6" s="3"/>
      <c r="E6" s="11" t="str">
        <f>IF(Results!$B6&gt;Results!$D6,"Home",IF(Results!$B6=Results!$D6,"Draw",IF(Results!$B6&lt;Results!$D6,"Away","?")))</f>
        <v>Draw</v>
      </c>
      <c r="F6" s="11" t="str">
        <f>IF(ISBLANK(A6),"",IF(Results!$B6&gt;Results!$D6,$A6,IF(Results!$B6=Results!$D6,"Draw",IF(Results!$B6&lt;Results!$D6,$C6,"?"))))</f>
        <v/>
      </c>
      <c r="G6" s="3"/>
    </row>
    <row r="7">
      <c r="A7" s="40"/>
      <c r="B7" s="40"/>
      <c r="C7" s="40"/>
      <c r="D7" s="40"/>
      <c r="E7" s="11" t="str">
        <f>IF(Results!$B7&gt;Results!$D7,"Home",IF(Results!$B7=Results!$D7,"Draw",IF(Results!$B7&lt;Results!$D7,"Away","?")))</f>
        <v>Draw</v>
      </c>
      <c r="F7" s="44" t="str">
        <f>IF(ISBLANK(A7),"",IF(Results!$B7&gt;Results!$D7,$A7,IF(Results!$B7=Results!$D7,"Draw",IF(Results!$B7&lt;Results!$D7,$C7,"?"))))</f>
        <v/>
      </c>
      <c r="G7" s="40"/>
      <c r="H7" s="45"/>
    </row>
    <row r="8">
      <c r="A8" s="3"/>
      <c r="B8" s="3"/>
      <c r="C8" s="3"/>
      <c r="D8" s="3"/>
      <c r="E8" s="11" t="str">
        <f>IF(Results!$B8&gt;Results!$D8,"Home",IF(Results!$B8=Results!$D8,"Draw",IF(Results!$B8&lt;Results!$D8,"Away","?")))</f>
        <v>Draw</v>
      </c>
      <c r="F8" s="11" t="str">
        <f>IF(ISBLANK(A8),"",IF(Results!$B8&gt;Results!$D8,$A8,IF(Results!$B8=Results!$D8,"Draw",IF(Results!$B8&lt;Results!$D8,$C8,"?"))))</f>
        <v/>
      </c>
      <c r="G8" s="3"/>
      <c r="H8" s="3"/>
    </row>
    <row r="9">
      <c r="A9" s="3"/>
      <c r="B9" s="3"/>
      <c r="C9" s="3"/>
      <c r="D9" s="3"/>
      <c r="E9" s="11" t="str">
        <f>IF(Results!$B9&gt;Results!$D9,"Home",IF(Results!$B9=Results!$D9,"Draw",IF(Results!$B9&lt;Results!$D9,"Away","?")))</f>
        <v>Draw</v>
      </c>
      <c r="F9" s="11" t="str">
        <f>IF(ISBLANK(A9),"",IF(Results!$B9&gt;Results!$D9,$A9,IF(Results!$B9=Results!$D9,"Draw",IF(Results!$B9&lt;Results!$D9,$C9,"?"))))</f>
        <v/>
      </c>
      <c r="G9" s="3"/>
    </row>
    <row r="10">
      <c r="A10" s="3"/>
      <c r="B10" s="3"/>
      <c r="C10" s="3"/>
      <c r="D10" s="3"/>
      <c r="E10" s="11" t="str">
        <f>IF(Results!$B10&gt;Results!$D10,"Home",IF(Results!$B10=Results!$D10,"Draw",IF(Results!$B10&lt;Results!$D10,"Away","?")))</f>
        <v>Draw</v>
      </c>
      <c r="F10" s="11" t="str">
        <f>IF(ISBLANK(A10),"",IF(Results!$B10&gt;Results!$D10,$A10,IF(Results!$B10=Results!$D10,"Draw",IF(Results!$B10&lt;Results!$D10,$C10,"?"))))</f>
        <v/>
      </c>
      <c r="G10" s="3"/>
    </row>
    <row r="11">
      <c r="A11" s="3"/>
      <c r="B11" s="3"/>
      <c r="C11" s="3"/>
      <c r="D11" s="3"/>
      <c r="E11" s="11" t="str">
        <f>IF(Results!$B11&gt;Results!$D11,"Home",IF(Results!$B11=Results!$D11,"Draw",IF(Results!$B11&lt;Results!$D11,"Away","?")))</f>
        <v>Draw</v>
      </c>
      <c r="F11" s="11" t="str">
        <f>IF(ISBLANK(A11),"",IF(Results!$B11&gt;Results!$D11,$A11,IF(Results!$B11=Results!$D11,"Draw",IF(Results!$B11&lt;Results!$D11,$C11,"?"))))</f>
        <v/>
      </c>
      <c r="G11" s="3"/>
    </row>
    <row r="12">
      <c r="A12" s="3"/>
      <c r="B12" s="3"/>
      <c r="C12" s="3"/>
      <c r="D12" s="3"/>
      <c r="E12" s="11" t="str">
        <f>IF(Results!$B12&gt;Results!$D12,"Home",IF(Results!$B12=Results!$D12,"Draw",IF(Results!$B12&lt;Results!$D12,"Away","?")))</f>
        <v>Draw</v>
      </c>
      <c r="F12" s="11" t="str">
        <f>IF(ISBLANK(A12),"",IF(Results!$B12&gt;Results!$D12,$A12,IF(Results!$B12=Results!$D12,"Draw",IF(Results!$B12&lt;Results!$D12,$C12,"?"))))</f>
        <v/>
      </c>
      <c r="G12" s="3"/>
    </row>
    <row r="13">
      <c r="A13" s="40"/>
      <c r="B13" s="40"/>
      <c r="C13" s="40"/>
      <c r="D13" s="40"/>
      <c r="E13" s="11" t="str">
        <f>IF(Results!$B13&gt;Results!$D13,"Home",IF(Results!$B13=Results!$D13,"Draw",IF(Results!$B13&lt;Results!$D13,"Away","?")))</f>
        <v>Draw</v>
      </c>
      <c r="F13" s="44" t="str">
        <f>IF(ISBLANK(A13),"",IF(Results!$B13&gt;Results!$D13,$A13,IF(Results!$B13=Results!$D13,"Draw",IF(Results!$B13&lt;Results!$D13,$C13,"?"))))</f>
        <v/>
      </c>
      <c r="G13" s="40"/>
      <c r="H13" s="45"/>
    </row>
    <row r="14">
      <c r="A14" s="3"/>
      <c r="B14" s="3"/>
      <c r="C14" s="3"/>
      <c r="D14" s="3"/>
      <c r="E14" s="11" t="str">
        <f>IF(Results!$B14&gt;Results!$D14,"Home",IF(Results!$B14=Results!$D14,"Draw",IF(Results!$B14&lt;Results!$D14,"Away","?")))</f>
        <v>Draw</v>
      </c>
      <c r="F14" s="11" t="str">
        <f>IF(ISBLANK(A14),"",IF(Results!$B14&gt;Results!$D14,$A14,IF(Results!$B14=Results!$D14,"Draw",IF(Results!$B14&lt;Results!$D14,$C14,"?"))))</f>
        <v/>
      </c>
      <c r="G14" s="3"/>
      <c r="H14" s="3"/>
    </row>
    <row r="15">
      <c r="A15" s="3"/>
      <c r="B15" s="3"/>
      <c r="C15" s="3"/>
      <c r="D15" s="3"/>
      <c r="E15" s="11" t="str">
        <f>IF(Results!$B15&gt;Results!$D15,"Home",IF(Results!$B15=Results!$D15,"Draw",IF(Results!$B15&lt;Results!$D15,"Away","?")))</f>
        <v>Draw</v>
      </c>
      <c r="F15" s="11" t="str">
        <f>IF(ISBLANK(A15),"",IF(Results!$B15&gt;Results!$D15,$A15,IF(Results!$B15=Results!$D15,"Draw",IF(Results!$B15&lt;Results!$D15,$C15,"?"))))</f>
        <v/>
      </c>
      <c r="G15" s="3"/>
    </row>
    <row r="16">
      <c r="A16" s="3"/>
      <c r="B16" s="3"/>
      <c r="C16" s="3"/>
      <c r="D16" s="3"/>
      <c r="E16" s="11" t="str">
        <f>IF(Results!$B16&gt;Results!$D16,"Home",IF(Results!$B16=Results!$D16,"Draw",IF(Results!$B16&lt;Results!$D16,"Away","?")))</f>
        <v>Draw</v>
      </c>
      <c r="F16" s="11" t="str">
        <f>IF(ISBLANK(A16),"",IF(Results!$B16&gt;Results!$D16,$A16,IF(Results!$B16=Results!$D16,"Draw",IF(Results!$B16&lt;Results!$D16,$C16,"?"))))</f>
        <v/>
      </c>
      <c r="G16" s="3"/>
    </row>
    <row r="17">
      <c r="A17" s="3"/>
      <c r="B17" s="3"/>
      <c r="C17" s="3"/>
      <c r="D17" s="3"/>
      <c r="E17" s="11" t="str">
        <f>IF(Results!$B17&gt;Results!$D17,"Home",IF(Results!$B17=Results!$D17,"Draw",IF(Results!$B17&lt;Results!$D17,"Away","?")))</f>
        <v>Draw</v>
      </c>
      <c r="F17" s="11" t="str">
        <f>IF(ISBLANK(A17),"",IF(Results!$B17&gt;Results!$D17,$A17,IF(Results!$B17=Results!$D17,"Draw",IF(Results!$B17&lt;Results!$D17,$C17,"?"))))</f>
        <v/>
      </c>
      <c r="G17" s="3"/>
    </row>
    <row r="18">
      <c r="A18" s="3"/>
      <c r="B18" s="3"/>
      <c r="C18" s="3"/>
      <c r="D18" s="3"/>
      <c r="E18" s="11" t="str">
        <f>IF(Results!$B18&gt;Results!$D18,"Home",IF(Results!$B18=Results!$D18,"Draw",IF(Results!$B18&lt;Results!$D18,"Away","?")))</f>
        <v>Draw</v>
      </c>
      <c r="F18" s="11" t="str">
        <f>IF(ISBLANK(A18),"",IF(Results!$B18&gt;Results!$D18,$A18,IF(Results!$B18=Results!$D18,"Draw",IF(Results!$B18&lt;Results!$D18,$C18,"?"))))</f>
        <v/>
      </c>
      <c r="G18" s="3"/>
    </row>
    <row r="19">
      <c r="A19" s="40"/>
      <c r="B19" s="40"/>
      <c r="C19" s="40"/>
      <c r="D19" s="40"/>
      <c r="E19" s="11" t="str">
        <f>IF(Results!$B19&gt;Results!$D19,"Home",IF(Results!$B19=Results!$D19,"Draw",IF(Results!$B19&lt;Results!$D19,"Away","?")))</f>
        <v>Draw</v>
      </c>
      <c r="F19" s="44" t="str">
        <f>IF(ISBLANK(A19),"",IF(Results!$B19&gt;Results!$D19,$A19,IF(Results!$B19=Results!$D19,"Draw",IF(Results!$B19&lt;Results!$D19,$C19,"?"))))</f>
        <v/>
      </c>
      <c r="G19" s="40"/>
      <c r="H19" s="45"/>
    </row>
    <row r="20">
      <c r="A20" s="3"/>
      <c r="B20" s="3"/>
      <c r="C20" s="3"/>
      <c r="D20" s="3"/>
      <c r="E20" s="11" t="str">
        <f>IF(Results!$B20&gt;Results!$D20,"Home",IF(Results!$B20=Results!$D20,"Draw",IF(Results!$B20&lt;Results!$D20,"Away","?")))</f>
        <v>Draw</v>
      </c>
      <c r="F20" s="11" t="str">
        <f>IF(ISBLANK(A20),"",IF(Results!$B20&gt;Results!$D20,$A20,IF(Results!$B20=Results!$D20,"Draw",IF(Results!$B20&lt;Results!$D20,$C20,"?"))))</f>
        <v/>
      </c>
      <c r="G20" s="3"/>
      <c r="H20" s="3"/>
    </row>
    <row r="21">
      <c r="A21" s="3"/>
      <c r="B21" s="3"/>
      <c r="C21" s="3"/>
      <c r="D21" s="3"/>
      <c r="E21" s="11" t="str">
        <f>IF(Results!$B21&gt;Results!$D21,"Home",IF(Results!$B21=Results!$D21,"Draw",IF(Results!$B21&lt;Results!$D21,"Away","?")))</f>
        <v>Draw</v>
      </c>
      <c r="F21" s="11" t="str">
        <f>IF(ISBLANK(A21),"",IF(Results!$B21&gt;Results!$D21,$A21,IF(Results!$B21=Results!$D21,"Draw",IF(Results!$B21&lt;Results!$D21,$C21,"?"))))</f>
        <v/>
      </c>
      <c r="G21" s="3"/>
      <c r="H21" s="3"/>
    </row>
    <row r="22">
      <c r="A22" s="3"/>
      <c r="B22" s="3"/>
      <c r="C22" s="3"/>
      <c r="D22" s="3"/>
      <c r="E22" s="11" t="str">
        <f>IF(Results!$B22&gt;Results!$D22,"Home",IF(Results!$B22=Results!$D22,"Draw",IF(Results!$B22&lt;Results!$D22,"Away","?")))</f>
        <v>Draw</v>
      </c>
      <c r="F22" s="11" t="str">
        <f>IF(ISBLANK(A22),"",IF(Results!$B22&gt;Results!$D22,$A22,IF(Results!$B22=Results!$D22,"Draw",IF(Results!$B22&lt;Results!$D22,$C22,"?"))))</f>
        <v/>
      </c>
      <c r="G22" s="3"/>
      <c r="H22" s="3"/>
    </row>
    <row r="23">
      <c r="A23" s="3"/>
      <c r="B23" s="3"/>
      <c r="C23" s="3"/>
      <c r="D23" s="3"/>
      <c r="E23" s="11" t="str">
        <f>IF(Results!$B23&gt;Results!$D23,"Home",IF(Results!$B23=Results!$D23,"Draw",IF(Results!$B23&lt;Results!$D23,"Away","?")))</f>
        <v>Draw</v>
      </c>
      <c r="F23" s="11" t="str">
        <f>IF(ISBLANK(A23),"",IF(Results!$B23&gt;Results!$D23,$A23,IF(Results!$B23=Results!$D23,"Draw",IF(Results!$B23&lt;Results!$D23,$C23,"?"))))</f>
        <v/>
      </c>
      <c r="G23" s="3"/>
      <c r="H23" s="3"/>
    </row>
    <row r="24">
      <c r="A24" s="3"/>
      <c r="B24" s="3"/>
      <c r="C24" s="3"/>
      <c r="D24" s="3"/>
      <c r="E24" s="11" t="str">
        <f>IF(Results!$B24&gt;Results!$D24,"Home",IF(Results!$B24=Results!$D24,"Draw",IF(Results!$B24&lt;Results!$D24,"Away","?")))</f>
        <v>Draw</v>
      </c>
      <c r="F24" s="11" t="str">
        <f>IF(ISBLANK(A24),"",IF(Results!$B24&gt;Results!$D24,$A24,IF(Results!$B24=Results!$D24,"Draw",IF(Results!$B24&lt;Results!$D24,$C24,"?"))))</f>
        <v/>
      </c>
      <c r="G24" s="3"/>
      <c r="H24" s="3"/>
    </row>
    <row r="25">
      <c r="A25" s="40"/>
      <c r="B25" s="40"/>
      <c r="C25" s="40"/>
      <c r="D25" s="40"/>
      <c r="E25" s="11" t="str">
        <f>IF(Results!$B25&gt;Results!$D25,"Home",IF(Results!$B25=Results!$D25,"Draw",IF(Results!$B25&lt;Results!$D25,"Away","?")))</f>
        <v>Draw</v>
      </c>
      <c r="F25" s="44" t="str">
        <f>IF(ISBLANK(A25),"",IF(Results!$B25&gt;Results!$D25,$A25,IF(Results!$B25=Results!$D25,"Draw",IF(Results!$B25&lt;Results!$D25,$C25,"?"))))</f>
        <v/>
      </c>
      <c r="G25" s="40"/>
      <c r="H25" s="40"/>
    </row>
    <row r="26">
      <c r="A26" s="3"/>
      <c r="B26" s="3"/>
      <c r="C26" s="3"/>
      <c r="D26" s="3"/>
      <c r="E26" s="11" t="str">
        <f>IF(Results!$B26&gt;Results!$D26,"Home",IF(Results!$B26=Results!$D26,"Draw",IF(Results!$B26&lt;Results!$D26,"Away","?")))</f>
        <v>Draw</v>
      </c>
      <c r="F26" s="11" t="str">
        <f>IF(ISBLANK(A26),"",IF(Results!$B26&gt;Results!$D26,$A26,IF(Results!$B26=Results!$D26,"Draw",IF(Results!$B26&lt;Results!$D26,$C26,"?"))))</f>
        <v/>
      </c>
      <c r="G26" s="3"/>
      <c r="H26" s="3"/>
    </row>
    <row r="27">
      <c r="A27" s="3"/>
      <c r="B27" s="3"/>
      <c r="C27" s="3"/>
      <c r="D27" s="3"/>
      <c r="E27" s="11" t="str">
        <f>IF(Results!$B27&gt;Results!$D27,"Home",IF(Results!$B27=Results!$D27,"Draw",IF(Results!$B27&lt;Results!$D27,"Away","?")))</f>
        <v>Draw</v>
      </c>
      <c r="F27" s="11" t="str">
        <f>IF(ISBLANK(A27),"",IF(Results!$B27&gt;Results!$D27,$A27,IF(Results!$B27=Results!$D27,"Draw",IF(Results!$B27&lt;Results!$D27,$C27,"?"))))</f>
        <v/>
      </c>
      <c r="G27" s="3"/>
      <c r="H27" s="3"/>
    </row>
    <row r="28">
      <c r="A28" s="3"/>
      <c r="B28" s="3"/>
      <c r="C28" s="3"/>
      <c r="D28" s="3"/>
      <c r="E28" s="11" t="str">
        <f>IF(Results!$B28&gt;Results!$D28,"Home",IF(Results!$B28=Results!$D28,"Draw",IF(Results!$B28&lt;Results!$D28,"Away","?")))</f>
        <v>Draw</v>
      </c>
      <c r="F28" s="11" t="str">
        <f>IF(ISBLANK(A28),"",IF(Results!$B28&gt;Results!$D28,$A28,IF(Results!$B28=Results!$D28,"Draw",IF(Results!$B28&lt;Results!$D28,$C28,"?"))))</f>
        <v/>
      </c>
      <c r="G28" s="3"/>
      <c r="H28" s="3"/>
    </row>
    <row r="29">
      <c r="A29" s="40"/>
      <c r="B29" s="40"/>
      <c r="C29" s="40"/>
      <c r="D29" s="40"/>
      <c r="E29" s="11" t="str">
        <f>IF(Results!$B29&gt;Results!$D29,"Home",IF(Results!$B29=Results!$D29,"Draw",IF(Results!$B29&lt;Results!$D29,"Away","?")))</f>
        <v>Draw</v>
      </c>
      <c r="F29" s="44" t="str">
        <f>IF(ISBLANK(A29),"",IF(Results!$B29&gt;Results!$D29,$A29,IF(Results!$B29=Results!$D29,"Draw",IF(Results!$B29&lt;Results!$D29,$C29,"?"))))</f>
        <v/>
      </c>
      <c r="G29" s="40"/>
      <c r="H29" s="40"/>
    </row>
    <row r="30">
      <c r="A30" s="3"/>
      <c r="B30" s="3"/>
      <c r="C30" s="3"/>
      <c r="D30" s="3"/>
      <c r="E30" s="11" t="str">
        <f>IF(Results!$B30&gt;Results!$D30,"Home",IF(Results!$B30=Results!$D30,"Draw",IF(Results!$B30&lt;Results!$D30,"Away","?")))</f>
        <v>Draw</v>
      </c>
      <c r="F30" s="11" t="str">
        <f>IF(ISBLANK(A30),"",IF(Results!$B30&gt;Results!$D30,$A30,IF(Results!$B30=Results!$D30,"Draw",IF(Results!$B30&lt;Results!$D30,$C30,"?"))))</f>
        <v/>
      </c>
      <c r="G30" s="3"/>
      <c r="H30" s="3"/>
    </row>
    <row r="31">
      <c r="A31" s="40"/>
      <c r="B31" s="40"/>
      <c r="C31" s="40"/>
      <c r="D31" s="40"/>
      <c r="E31" s="11" t="str">
        <f>IF(Results!$B31&gt;Results!$D31,"Home",IF(Results!$B31=Results!$D31,"Draw",IF(Results!$B31&lt;Results!$D31,"Away","?")))</f>
        <v>Draw</v>
      </c>
      <c r="F31" s="44" t="str">
        <f>IF(ISBLANK(A31),"",IF(Results!$B31&gt;Results!$D31,$A31,IF(Results!$B31=Results!$D31,"Draw",IF(Results!$B31&lt;Results!$D31,$C31,"?"))))</f>
        <v/>
      </c>
      <c r="G31" s="40"/>
      <c r="H31" s="40"/>
    </row>
    <row r="32">
      <c r="A32" s="3"/>
      <c r="B32" s="3"/>
      <c r="C32" s="3"/>
      <c r="D32" s="3"/>
      <c r="E32" s="11" t="str">
        <f>IF(Results!$B32&gt;Results!$D32,"Home",IF(Results!$B32=Results!$D32,"Draw",IF(Results!$B32&lt;Results!$D32,"Away","?")))</f>
        <v>Draw</v>
      </c>
      <c r="F32" s="11" t="str">
        <f>IF(ISBLANK(A32),"",IF(Results!$B32&gt;Results!$D32,$A32,IF(Results!$B32=Results!$D32,"Draw",IF(Results!$B32&lt;Results!$D32,$C32,"?"))))</f>
        <v/>
      </c>
      <c r="G32" s="3"/>
      <c r="H32" s="3"/>
    </row>
    <row r="33">
      <c r="A33" s="3"/>
      <c r="B33" s="3"/>
      <c r="C33" s="3"/>
      <c r="D33" s="3"/>
      <c r="E33" s="11" t="str">
        <f>IF(Results!$B33&gt;Results!$D33,"Home",IF(Results!$B33=Results!$D33,"Draw",IF(Results!$B33&lt;Results!$D33,"Away","?")))</f>
        <v>Draw</v>
      </c>
      <c r="F33" s="11" t="str">
        <f>IF(ISBLANK(A33),"",IF(Results!$B33&gt;Results!$D33,$A33,IF(Results!$B33=Results!$D33,"Draw",IF(Results!$B33&lt;Results!$D33,$C33,"?"))))</f>
        <v/>
      </c>
      <c r="G33" s="3"/>
      <c r="H33" s="3"/>
    </row>
    <row r="34">
      <c r="A34" s="40"/>
      <c r="B34" s="40"/>
      <c r="C34" s="40"/>
      <c r="D34" s="40"/>
      <c r="E34" s="11" t="str">
        <f>IF(Results!$B34&gt;Results!$D34,"Home",IF(Results!$B34=Results!$D34,"Draw",IF(Results!$B34&lt;Results!$D34,"Away","?")))</f>
        <v>Draw</v>
      </c>
      <c r="F34" s="44" t="str">
        <f>IF(ISBLANK(A34),"",IF(Results!$B34&gt;Results!$D34,$A34,IF(Results!$B34=Results!$D34,"Draw",IF(Results!$B34&lt;Results!$D34,$C34,"?"))))</f>
        <v/>
      </c>
      <c r="G34" s="40"/>
      <c r="H34" s="40"/>
    </row>
    <row r="35">
      <c r="A35" s="3"/>
      <c r="B35" s="3"/>
      <c r="C35" s="3"/>
      <c r="D35" s="3"/>
      <c r="E35" s="11" t="str">
        <f>IF(Results!$B35&gt;Results!$D35,"Home",IF(Results!$B35=Results!$D35,"Draw",IF(Results!$B35&lt;Results!$D35,"Away","?")))</f>
        <v>Draw</v>
      </c>
      <c r="F35" s="11" t="str">
        <f>IF(ISBLANK(A35),"",IF(Results!$B35&gt;Results!$D35,$A35,IF(Results!$B35=Results!$D35,"Draw",IF(Results!$B35&lt;Results!$D35,$C35,"?"))))</f>
        <v/>
      </c>
      <c r="G35" s="3"/>
      <c r="H35" s="3"/>
    </row>
    <row r="36">
      <c r="A36" s="3"/>
      <c r="B36" s="3"/>
      <c r="C36" s="3"/>
      <c r="D36" s="3"/>
      <c r="E36" s="11" t="str">
        <f>IF(Results!$B36&gt;Results!$D36,"Home",IF(Results!$B36=Results!$D36,"Draw",IF(Results!$B36&lt;Results!$D36,"Away","?")))</f>
        <v>Draw</v>
      </c>
      <c r="F36" s="11" t="str">
        <f>IF(ISBLANK(A36),"",IF(Results!$B36&gt;Results!$D36,$A36,IF(Results!$B36=Results!$D36,"Draw",IF(Results!$B36&lt;Results!$D36,$C36,"?"))))</f>
        <v/>
      </c>
      <c r="G36" s="3"/>
      <c r="H36" s="3"/>
    </row>
    <row r="37">
      <c r="A37" s="3"/>
      <c r="B37" s="3"/>
      <c r="C37" s="3"/>
      <c r="D37" s="3"/>
      <c r="E37" s="11" t="str">
        <f>IF(Results!$B37&gt;Results!$D37,"Home",IF(Results!$B37=Results!$D37,"Draw",IF(Results!$B37&lt;Results!$D37,"Away","?")))</f>
        <v>Draw</v>
      </c>
      <c r="F37" s="11" t="str">
        <f>IF(ISBLANK(A37),"",IF(Results!$B37&gt;Results!$D37,$A37,IF(Results!$B37=Results!$D37,"Draw",IF(Results!$B37&lt;Results!$D37,$C37,"?"))))</f>
        <v/>
      </c>
      <c r="G37" s="3"/>
      <c r="H37" s="3"/>
    </row>
    <row r="38">
      <c r="A38" s="3"/>
      <c r="B38" s="3"/>
      <c r="C38" s="3"/>
      <c r="D38" s="3"/>
      <c r="E38" s="11" t="str">
        <f>IF(Results!$B38&gt;Results!$D38,"Home",IF(Results!$B38=Results!$D38,"Draw",IF(Results!$B38&lt;Results!$D38,"Away","?")))</f>
        <v>Draw</v>
      </c>
      <c r="F38" s="11" t="str">
        <f>IF(ISBLANK(A38),"",IF(Results!$B38&gt;Results!$D38,$A38,IF(Results!$B38=Results!$D38,"Draw",IF(Results!$B38&lt;Results!$D38,$C38,"?"))))</f>
        <v/>
      </c>
      <c r="G38" s="3"/>
      <c r="H38" s="3"/>
    </row>
    <row r="39">
      <c r="A39" s="3"/>
      <c r="B39" s="3"/>
      <c r="C39" s="3"/>
      <c r="D39" s="3"/>
      <c r="E39" s="11" t="str">
        <f>IF(Results!$B39&gt;Results!$D39,"Home",IF(Results!$B39=Results!$D39,"Draw",IF(Results!$B39&lt;Results!$D39,"Away","?")))</f>
        <v>Draw</v>
      </c>
      <c r="F39" s="11" t="str">
        <f>IF(ISBLANK(A39),"",IF(Results!$B39&gt;Results!$D39,$A39,IF(Results!$B39=Results!$D39,"Draw",IF(Results!$B39&lt;Results!$D39,$C39,"?"))))</f>
        <v/>
      </c>
      <c r="G39" s="3"/>
      <c r="H39" s="3"/>
    </row>
    <row r="40">
      <c r="A40" s="3"/>
      <c r="B40" s="3"/>
      <c r="C40" s="3"/>
      <c r="D40" s="3"/>
      <c r="E40" s="11" t="str">
        <f>IF(Results!$B40&gt;Results!$D40,"Home",IF(Results!$B40=Results!$D40,"Draw",IF(Results!$B40&lt;Results!$D40,"Away","?")))</f>
        <v>Draw</v>
      </c>
      <c r="F40" s="11" t="str">
        <f>IF(ISBLANK(A40),"",IF(Results!$B40&gt;Results!$D40,$A40,IF(Results!$B40=Results!$D40,"Draw",IF(Results!$B40&lt;Results!$D40,$C40,"?"))))</f>
        <v/>
      </c>
      <c r="G40" s="3"/>
      <c r="H40" s="3"/>
    </row>
    <row r="41">
      <c r="A41" s="3"/>
      <c r="B41" s="3"/>
      <c r="C41" s="3"/>
      <c r="D41" s="3"/>
      <c r="E41" s="11" t="str">
        <f>IF(Results!$B41&gt;Results!$D41,"Home",IF(Results!$B41=Results!$D41,"Draw",IF(Results!$B41&lt;Results!$D41,"Away","?")))</f>
        <v>Draw</v>
      </c>
      <c r="F41" s="11" t="str">
        <f>IF(ISBLANK(A41),"",IF(Results!$B41&gt;Results!$D41,$A41,IF(Results!$B41=Results!$D41,"Draw",IF(Results!$B41&lt;Results!$D41,$C41,"?"))))</f>
        <v/>
      </c>
      <c r="G41" s="3"/>
      <c r="H41" s="3"/>
    </row>
    <row r="42">
      <c r="A42" s="3"/>
      <c r="B42" s="3"/>
      <c r="C42" s="3"/>
      <c r="D42" s="3"/>
      <c r="E42" s="11" t="str">
        <f>IF(Results!$B42&gt;Results!$D42,"Home",IF(Results!$B42=Results!$D42,"Draw",IF(Results!$B42&lt;Results!$D42,"Away","?")))</f>
        <v>Draw</v>
      </c>
      <c r="F42" s="11" t="str">
        <f>IF(ISBLANK(A42),"",IF(Results!$B42&gt;Results!$D42,$A42,IF(Results!$B42=Results!$D42,"Draw",IF(Results!$B42&lt;Results!$D42,$C42,"?"))))</f>
        <v/>
      </c>
      <c r="G42" s="3"/>
      <c r="H42" s="3"/>
    </row>
    <row r="43">
      <c r="A43" s="3"/>
      <c r="B43" s="3"/>
      <c r="C43" s="3"/>
      <c r="D43" s="3"/>
      <c r="E43" s="11" t="str">
        <f>IF(Results!$B43&gt;Results!$D43,"Home",IF(Results!$B43=Results!$D43,"Draw",IF(Results!$B43&lt;Results!$D43,"Away","?")))</f>
        <v>Draw</v>
      </c>
      <c r="F43" s="11" t="str">
        <f>IF(ISBLANK(A43),"",IF(Results!$B43&gt;Results!$D43,$A43,IF(Results!$B43=Results!$D43,"Draw",IF(Results!$B43&lt;Results!$D43,$C43,"?"))))</f>
        <v/>
      </c>
      <c r="G43" s="3"/>
      <c r="H43" s="3"/>
    </row>
    <row r="44">
      <c r="A44" s="3"/>
      <c r="B44" s="3"/>
      <c r="C44" s="3"/>
      <c r="D44" s="3"/>
      <c r="E44" s="11" t="str">
        <f>IF(Results!$B44&gt;Results!$D44,"Home",IF(Results!$B44=Results!$D44,"Draw",IF(Results!$B44&lt;Results!$D44,"Away","?")))</f>
        <v>Draw</v>
      </c>
      <c r="F44" s="11" t="str">
        <f>IF(ISBLANK(A44),"",IF(Results!$B44&gt;Results!$D44,$A44,IF(Results!$B44=Results!$D44,"Draw",IF(Results!$B44&lt;Results!$D44,$C44,"?"))))</f>
        <v/>
      </c>
      <c r="G44" s="3"/>
      <c r="H44" s="3"/>
    </row>
    <row r="45">
      <c r="A45" s="3"/>
      <c r="B45" s="3"/>
      <c r="C45" s="3"/>
      <c r="D45" s="3"/>
      <c r="E45" s="11" t="str">
        <f>IF(Results!$B45&gt;Results!$D45,"Home",IF(Results!$B45=Results!$D45,"Draw",IF(Results!$B45&lt;Results!$D45,"Away","?")))</f>
        <v>Draw</v>
      </c>
      <c r="F45" s="11" t="str">
        <f>IF(ISBLANK(A45),"",IF(Results!$B45&gt;Results!$D45,$A45,IF(Results!$B45=Results!$D45,"Draw",IF(Results!$B45&lt;Results!$D45,$C45,"?"))))</f>
        <v/>
      </c>
      <c r="G45" s="3"/>
      <c r="H45" s="3"/>
    </row>
    <row r="46">
      <c r="A46" s="3"/>
      <c r="B46" s="3"/>
      <c r="C46" s="3"/>
      <c r="D46" s="3"/>
      <c r="E46" s="11" t="str">
        <f>IF(Results!$B46&gt;Results!$D46,"Home",IF(Results!$B46=Results!$D46,"Draw",IF(Results!$B46&lt;Results!$D46,"Away","?")))</f>
        <v>Draw</v>
      </c>
      <c r="F46" s="11" t="str">
        <f>IF(ISBLANK(A46),"",IF(Results!$B46&gt;Results!$D46,$A46,IF(Results!$B46=Results!$D46,"Draw",IF(Results!$B46&lt;Results!$D46,$C46,"?"))))</f>
        <v/>
      </c>
      <c r="G46" s="3"/>
      <c r="H46" s="3"/>
    </row>
    <row r="47">
      <c r="A47" s="3"/>
      <c r="B47" s="3"/>
      <c r="C47" s="3"/>
      <c r="D47" s="3"/>
      <c r="E47" s="3" t="str">
        <f>IF(ISBLANK(A47),"", IF(Results!$B47&gt;Results!$D47,"Home",IF(Results!$B47=Results!$D47,"Draw",IF(Results!$B47&lt;Results!$D47,"Away","?"))))</f>
        <v/>
      </c>
      <c r="F47" s="11" t="str">
        <f>IF(ISBLANK(A47),"",IF(Results!$B47&gt;Results!$D47,$A47,IF(Results!$B47=Results!$D47,"Draw",IF(Results!$B47&lt;Results!$D47,$C47,"?"))))</f>
        <v/>
      </c>
      <c r="G47" s="3"/>
      <c r="H47" s="3"/>
    </row>
    <row r="48">
      <c r="A48" s="3"/>
      <c r="B48" s="3"/>
      <c r="C48" s="3"/>
      <c r="D48" s="3"/>
      <c r="E48" s="3" t="str">
        <f>IF(ISBLANK(A48),"", IF(Results!$B48&gt;Results!$D48,"Home",IF(Results!$B48=Results!$D48,"Draw",IF(Results!$B48&lt;Results!$D48,"Away","?"))))</f>
        <v/>
      </c>
      <c r="F48" s="11" t="str">
        <f>IF(ISBLANK(A48),"",IF(Results!$B48&gt;Results!$D48,$A48,IF(Results!$B48=Results!$D48,"Draw",IF(Results!$B48&lt;Results!$D48,$C48,"?"))))</f>
        <v/>
      </c>
      <c r="G48" s="3"/>
      <c r="H48" s="3"/>
    </row>
    <row r="49">
      <c r="A49" s="3"/>
      <c r="B49" s="3"/>
      <c r="C49" s="3"/>
      <c r="D49" s="3"/>
      <c r="E49" s="3" t="str">
        <f>IF(ISBLANK(A49),"", IF(Results!$B49&gt;Results!$D49,"Home",IF(Results!$B49=Results!$D49,"Draw",IF(Results!$B49&lt;Results!$D49,"Away","?"))))</f>
        <v/>
      </c>
      <c r="F49" s="11" t="str">
        <f>IF(ISBLANK(A49),"",IF(Results!$B49&gt;Results!$D49,$A49,IF(Results!$B49=Results!$D49,"Draw",IF(Results!$B49&lt;Results!$D49,$C49,"?"))))</f>
        <v/>
      </c>
      <c r="G49" s="3"/>
      <c r="H49" s="3"/>
    </row>
    <row r="50">
      <c r="A50" s="3"/>
      <c r="B50" s="3"/>
      <c r="C50" s="3"/>
      <c r="D50" s="3"/>
      <c r="E50" s="3" t="str">
        <f>IF(ISBLANK(A50),"", IF(Results!$B50&gt;Results!$D50,"Home",IF(Results!$B50=Results!$D50,"Draw",IF(Results!$B50&lt;Results!$D50,"Away","?"))))</f>
        <v/>
      </c>
      <c r="F50" s="11" t="str">
        <f>IF(ISBLANK(A50),"",IF(Results!$B50&gt;Results!$D50,$A50,IF(Results!$B50=Results!$D50,"Draw",IF(Results!$B50&lt;Results!$D50,$C50,"?"))))</f>
        <v/>
      </c>
      <c r="G50" s="3"/>
      <c r="H50" s="3"/>
    </row>
    <row r="51">
      <c r="A51" s="3"/>
      <c r="B51" s="3"/>
      <c r="C51" s="3"/>
      <c r="D51" s="3"/>
      <c r="E51" s="3" t="str">
        <f>IF(ISBLANK(A51),"", IF(Results!$B51&gt;Results!$D51,"Home",IF(Results!$B51=Results!$D51,"Draw",IF(Results!$B51&lt;Results!$D51,"Away","?"))))</f>
        <v/>
      </c>
      <c r="F51" s="67" t="str">
        <f>IF(ISBLANK(A51),"",IF(Results!$B51&gt;Results!$D51,$A51,IF(Results!$B51=Results!$D51,"Draw",IF(Results!$B51&lt;Results!$D51,$C51,"?"))))</f>
        <v/>
      </c>
      <c r="G51" s="3"/>
      <c r="H51" s="3"/>
    </row>
    <row r="52">
      <c r="A52" s="3"/>
      <c r="B52" s="3"/>
      <c r="C52" s="3"/>
      <c r="D52" s="3"/>
      <c r="E52" s="3" t="str">
        <f>IF(ISBLANK(A52),"", IF(Results!$B52&gt;Results!$D52,"Home",IF(Results!$B52=Results!$D52,"Draw",IF(Results!$B52&lt;Results!$D52,"Away","?"))))</f>
        <v/>
      </c>
      <c r="F52" s="3"/>
      <c r="G52" s="3"/>
      <c r="H52" s="3"/>
    </row>
    <row r="53">
      <c r="A53" s="3"/>
      <c r="B53" s="3"/>
      <c r="C53" s="3"/>
      <c r="D53" s="3"/>
      <c r="E53" s="3" t="str">
        <f>IF(ISBLANK(A53),"", IF(Results!$B53&gt;Results!$D53,"Home",IF(Results!$B53=Results!$D53,"Draw",IF(Results!$B53&lt;Results!$D53,"Away","?"))))</f>
        <v/>
      </c>
      <c r="F53" s="3"/>
      <c r="G53" s="3"/>
      <c r="H53" s="3"/>
    </row>
    <row r="54">
      <c r="A54" s="3"/>
      <c r="B54" s="3"/>
      <c r="C54" s="3"/>
      <c r="D54" s="3"/>
      <c r="E54" s="3" t="str">
        <f>IF(ISBLANK(A54),"", IF(Results!$B54&gt;Results!$D54,"Home",IF(Results!$B54=Results!$D54,"Draw",IF(Results!$B54&lt;Results!$D54,"Away","?"))))</f>
        <v/>
      </c>
      <c r="F54" s="3"/>
      <c r="G54" s="3"/>
      <c r="H54" s="3"/>
    </row>
    <row r="55">
      <c r="A55" s="3"/>
      <c r="B55" s="3"/>
      <c r="C55" s="3"/>
      <c r="D55" s="3"/>
      <c r="E55" s="3" t="str">
        <f>IF(ISBLANK(A55),"", IF(Results!$B55&gt;Results!$D55,"Home",IF(Results!$B55=Results!$D55,"Draw",IF(Results!$B55&lt;Results!$D55,"Away","?"))))</f>
        <v/>
      </c>
      <c r="F55" s="3"/>
      <c r="G55" s="3"/>
      <c r="H55" s="3"/>
    </row>
    <row r="56">
      <c r="A56" s="3"/>
      <c r="B56" s="3"/>
      <c r="C56" s="3"/>
      <c r="D56" s="3"/>
      <c r="E56" s="3" t="str">
        <f>IF(ISBLANK(A56),"", IF(Results!$B56&gt;Results!$D56,"Home",IF(Results!$B56=Results!$D56,"Draw",IF(Results!$B56&lt;Results!$D56,"Away","?"))))</f>
        <v/>
      </c>
      <c r="F56" s="3"/>
      <c r="G56" s="3"/>
      <c r="H56" s="3"/>
    </row>
    <row r="57">
      <c r="A57" s="3"/>
      <c r="B57" s="3"/>
      <c r="C57" s="3"/>
      <c r="D57" s="3"/>
      <c r="E57" s="3" t="str">
        <f>IF(ISBLANK(A57),"", IF(Results!$B57&gt;Results!$D57,"Home",IF(Results!$B57=Results!$D57,"Draw",IF(Results!$B57&lt;Results!$D57,"Away","?"))))</f>
        <v/>
      </c>
      <c r="F57" s="3"/>
      <c r="G57" s="3"/>
      <c r="H57" s="3"/>
    </row>
    <row r="58">
      <c r="A58" s="3"/>
      <c r="B58" s="3"/>
      <c r="C58" s="3"/>
      <c r="D58" s="3"/>
      <c r="E58" s="3" t="str">
        <f>IF(ISBLANK(A58),"", IF(Results!$B58&gt;Results!$D58,"Home",IF(Results!$B58=Results!$D58,"Draw",IF(Results!$B58&lt;Results!$D58,"Away","?"))))</f>
        <v/>
      </c>
      <c r="F58" s="3"/>
      <c r="G58" s="3"/>
      <c r="H58" s="3"/>
    </row>
    <row r="59">
      <c r="A59" s="3"/>
      <c r="B59" s="3"/>
      <c r="C59" s="3"/>
      <c r="D59" s="3"/>
      <c r="E59" s="3" t="str">
        <f>IF(ISBLANK(A59),"", IF(Results!$B59&gt;Results!$D59,"Home",IF(Results!$B59=Results!$D59,"Draw",IF(Results!$B59&lt;Results!$D59,"Away","?"))))</f>
        <v/>
      </c>
      <c r="F59" s="3"/>
      <c r="G59" s="3"/>
      <c r="H59" s="3"/>
    </row>
    <row r="60">
      <c r="A60" s="3"/>
      <c r="B60" s="3"/>
      <c r="C60" s="3"/>
      <c r="D60" s="3"/>
      <c r="E60" s="3" t="str">
        <f>IF(ISBLANK(A60),"", IF(Results!$B60&gt;Results!$D60,"Home",IF(Results!$B60=Results!$D60,"Draw",IF(Results!$B60&lt;Results!$D60,"Away","?"))))</f>
        <v/>
      </c>
      <c r="F60" s="3"/>
      <c r="G60" s="3"/>
      <c r="H60" s="3"/>
    </row>
    <row r="61">
      <c r="A61" s="3"/>
      <c r="B61" s="3"/>
      <c r="C61" s="3"/>
      <c r="D61" s="3"/>
      <c r="E61" s="3" t="str">
        <f>IF(ISBLANK(A61),"", IF(Results!$B61&gt;Results!$D61,"Home",IF(Results!$B61=Results!$D61,"Draw",IF(Results!$B61&lt;Results!$D61,"Away","?"))))</f>
        <v/>
      </c>
      <c r="F61" s="3"/>
      <c r="G61" s="3"/>
      <c r="H61" s="3"/>
    </row>
    <row r="62">
      <c r="A62" s="3"/>
      <c r="B62" s="3"/>
      <c r="C62" s="3"/>
      <c r="D62" s="3"/>
      <c r="E62" s="3" t="str">
        <f>IF(ISBLANK(A62),"", IF(Results!$B62&gt;Results!$D62,"Home",IF(Results!$B62=Results!$D62,"Draw",IF(Results!$B62&lt;Results!$D62,"Away","?"))))</f>
        <v/>
      </c>
      <c r="F62" s="3"/>
      <c r="G62" s="3"/>
      <c r="H62" s="3"/>
    </row>
    <row r="63">
      <c r="A63" s="3"/>
      <c r="B63" s="3"/>
      <c r="C63" s="3"/>
      <c r="D63" s="3"/>
      <c r="E63" s="3" t="str">
        <f>IF(ISBLANK(A63),"", IF(Results!$B63&gt;Results!$D63,"Home",IF(Results!$B63=Results!$D63,"Draw",IF(Results!$B63&lt;Results!$D63,"Away","?"))))</f>
        <v/>
      </c>
      <c r="F63" s="3"/>
      <c r="G63" s="3"/>
      <c r="H63" s="3"/>
    </row>
    <row r="64">
      <c r="A64" s="3"/>
      <c r="B64" s="3"/>
      <c r="C64" s="3"/>
      <c r="D64" s="3"/>
      <c r="E64" s="3" t="str">
        <f>IF(ISBLANK(A64),"", IF(Results!$B64&gt;Results!$D64,"Home",IF(Results!$B64=Results!$D64,"Draw",IF(Results!$B64&lt;Results!$D64,"Away","?"))))</f>
        <v/>
      </c>
      <c r="F64" s="3"/>
      <c r="G64" s="3"/>
      <c r="H64" s="3"/>
    </row>
    <row r="65">
      <c r="A65" s="3"/>
      <c r="B65" s="3"/>
      <c r="C65" s="3"/>
      <c r="D65" s="3"/>
      <c r="E65" s="3" t="str">
        <f>IF(ISBLANK(A65),"", IF(Results!$B65&gt;Results!$D65,"Home",IF(Results!$B65=Results!$D65,"Draw",IF(Results!$B65&lt;Results!$D65,"Away","?"))))</f>
        <v/>
      </c>
      <c r="F65" s="3"/>
      <c r="G65" s="3"/>
      <c r="H65" s="3"/>
    </row>
    <row r="66">
      <c r="A66" s="3"/>
      <c r="B66" s="3"/>
      <c r="C66" s="3"/>
      <c r="D66" s="3"/>
      <c r="E66" s="3" t="str">
        <f>IF(ISBLANK(A66),"", IF(Results!$B66&gt;Results!$D66,"Home",IF(Results!$B66=Results!$D66,"Draw",IF(Results!$B66&lt;Results!$D66,"Away","?"))))</f>
        <v/>
      </c>
      <c r="F66" s="3"/>
      <c r="G66" s="3"/>
      <c r="H66" s="3"/>
    </row>
    <row r="67">
      <c r="A67" s="3"/>
      <c r="B67" s="3"/>
      <c r="C67" s="3"/>
      <c r="D67" s="3"/>
      <c r="E67" s="3" t="str">
        <f>IF(ISBLANK(A67),"", IF(Results!$B67&gt;Results!$D67,"Home",IF(Results!$B67=Results!$D67,"Draw",IF(Results!$B67&lt;Results!$D67,"Away","?"))))</f>
        <v/>
      </c>
      <c r="F67" s="3"/>
      <c r="G67" s="3"/>
      <c r="H67" s="3"/>
    </row>
    <row r="68">
      <c r="A68" s="3"/>
      <c r="B68" s="3"/>
      <c r="C68" s="3"/>
      <c r="D68" s="3"/>
      <c r="E68" s="3" t="str">
        <f>IF(ISBLANK(A68),"", IF(Results!$B68&gt;Results!$D68,"Home",IF(Results!$B68=Results!$D68,"Draw",IF(Results!$B68&lt;Results!$D68,"Away","?"))))</f>
        <v/>
      </c>
      <c r="F68" s="3"/>
      <c r="G68" s="3"/>
      <c r="H68" s="3"/>
    </row>
    <row r="69">
      <c r="A69" s="3"/>
      <c r="B69" s="3"/>
      <c r="C69" s="3"/>
      <c r="D69" s="3"/>
      <c r="E69" s="3" t="str">
        <f>IF(ISBLANK(A69),"", IF(Results!$B69&gt;Results!$D69,"Home",IF(Results!$B69=Results!$D69,"Draw",IF(Results!$B69&lt;Results!$D69,"Away","?"))))</f>
        <v/>
      </c>
      <c r="F69" s="3"/>
      <c r="G69" s="3"/>
      <c r="H69" s="3"/>
    </row>
    <row r="70">
      <c r="A70" s="3"/>
      <c r="B70" s="3"/>
      <c r="C70" s="3"/>
      <c r="D70" s="3"/>
      <c r="E70" s="3" t="str">
        <f>IF(ISBLANK(A70),"", IF(Results!$B70&gt;Results!$D70,"Home",IF(Results!$B70=Results!$D70,"Draw",IF(Results!$B70&lt;Results!$D70,"Away","?"))))</f>
        <v/>
      </c>
      <c r="F70" s="3"/>
      <c r="G70" s="3"/>
      <c r="H70" s="3"/>
    </row>
    <row r="71">
      <c r="A71" s="3"/>
      <c r="B71" s="3"/>
      <c r="C71" s="3"/>
      <c r="D71" s="3"/>
      <c r="E71" s="3" t="str">
        <f>IF(ISBLANK(A71),"", IF(Results!$B71&gt;Results!$D71,"Home",IF(Results!$B71=Results!$D71,"Draw",IF(Results!$B71&lt;Results!$D71,"Away","?"))))</f>
        <v/>
      </c>
      <c r="F71" s="3"/>
      <c r="G71" s="3"/>
      <c r="H71" s="3"/>
    </row>
    <row r="72">
      <c r="A72" s="3"/>
      <c r="B72" s="3"/>
      <c r="C72" s="3"/>
      <c r="D72" s="3"/>
      <c r="E72" s="3" t="str">
        <f>IF(ISBLANK(A72),"", IF(Results!$B72&gt;Results!$D72,"Home",IF(Results!$B72=Results!$D72,"Draw",IF(Results!$B72&lt;Results!$D72,"Away","?"))))</f>
        <v/>
      </c>
      <c r="F72" s="3"/>
      <c r="G72" s="3"/>
      <c r="H72" s="3"/>
    </row>
    <row r="73">
      <c r="A73" s="3"/>
      <c r="B73" s="3"/>
      <c r="C73" s="3"/>
      <c r="D73" s="3"/>
      <c r="E73" s="3" t="str">
        <f>IF(ISBLANK(A73),"", IF(Results!$B73&gt;Results!$D73,"Home",IF(Results!$B73=Results!$D73,"Draw",IF(Results!$B73&lt;Results!$D73,"Away","?"))))</f>
        <v/>
      </c>
      <c r="F73" s="3"/>
      <c r="G73" s="3"/>
      <c r="H73" s="3"/>
    </row>
    <row r="74">
      <c r="A74" s="3"/>
      <c r="B74" s="3"/>
      <c r="C74" s="3"/>
      <c r="D74" s="3"/>
      <c r="E74" s="3" t="str">
        <f>IF(ISBLANK(A74),"", IF(Results!$B74&gt;Results!$D74,"Home",IF(Results!$B74=Results!$D74,"Draw",IF(Results!$B74&lt;Results!$D74,"Away","?"))))</f>
        <v/>
      </c>
      <c r="F74" s="3"/>
      <c r="G74" s="3"/>
      <c r="H74" s="3"/>
    </row>
    <row r="75">
      <c r="A75" s="3"/>
      <c r="B75" s="3"/>
      <c r="C75" s="3"/>
      <c r="D75" s="3"/>
      <c r="E75" s="3" t="str">
        <f>IF(ISBLANK(A75),"", IF(Results!$B75&gt;Results!$D75,"Home",IF(Results!$B75=Results!$D75,"Draw",IF(Results!$B75&lt;Results!$D75,"Away","?"))))</f>
        <v/>
      </c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</sheetData>
  <mergeCells count="3">
    <mergeCell ref="H2:H7"/>
    <mergeCell ref="H8:H13"/>
    <mergeCell ref="H14:H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9" max="1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7" t="s">
        <v>10</v>
      </c>
      <c r="B2" s="13">
        <f>COUNTIFS(Results!$A$2:$A$992,"BK")+COUNTIFS(Results!$C$2:$C$993,"BK")</f>
        <v>0</v>
      </c>
      <c r="C2" s="13">
        <f>COUNTIFS(Results!$A$2:$A$993,"BK",Results!$E$2:$E$993,"Home")+COUNTIFS(Results!$C$2:$C$993,"BK",Results!$E$2:$E$993,"Away")</f>
        <v>0</v>
      </c>
      <c r="D2" s="13">
        <f>COUNTIFS(Results!$A$2:$A$993,"BK",Results!$E$2:$E$993,"Away")+COUNTIFS(Results!$C$2:$C$993,"BK",Results!$E$2:$E$993,"Home")</f>
        <v>0</v>
      </c>
      <c r="E2" s="13">
        <f>COUNTIFS(Results!$A$2:$A$993,"BK",Results!$E$2:$E$993,"Draw")+COUNTIFS(Results!$C$2:$C$993,"BK",Results!$E$2:$E$993,"Draw")</f>
        <v>0</v>
      </c>
      <c r="F2" s="13">
        <f t="shared" ref="F2:F8" si="1">(C2*6)+(E2*3)</f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7" t="s">
        <v>17</v>
      </c>
      <c r="B3" s="13">
        <f>COUNTIFS(Results!$A$2:$A985,"TD")+COUNTIFS(Results!$C$2:$C$993,"TD")</f>
        <v>0</v>
      </c>
      <c r="C3" s="13">
        <f>COUNTIFS(Results!$A$2:$A$993,"TD",Results!$E$2:$E$993,"Home")+COUNTIFS(Results!$C$2:$C$993,"TD",Results!$E$2:$E$993,"Away")</f>
        <v>0</v>
      </c>
      <c r="D3" s="13">
        <f>COUNTIFS(Results!$A$2:$A$993,"TD",Results!$E$2:$E$993,"Away")+COUNTIFS(Results!$C$2:$C$993,"TD",Results!$E$2:$E$993,"Home")</f>
        <v>0</v>
      </c>
      <c r="E3" s="13">
        <f>COUNTIFS(Results!$A$2:$A$993,"TD",Results!$E$2:$E$993,"Draw")+COUNTIFS(Results!$C$2:$C$993,"TD",Results!$E$2:$E$993,"Draw")</f>
        <v>0</v>
      </c>
      <c r="F3" s="13">
        <f t="shared" si="1"/>
        <v>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7" t="s">
        <v>23</v>
      </c>
      <c r="B4" s="13">
        <f>COUNTIFS(Results!$A$2:$A989,"MC")+COUNTIFS(Results!$C$2:$C$993,"MC")</f>
        <v>0</v>
      </c>
      <c r="C4" s="13">
        <f>COUNTIFS(Results!$A$2:$A$993,"MC",Results!$E$2:$E$993,"Home")+COUNTIFS(Results!$C$2:$C$993,"MC",Results!$E$2:$E$993,"Away")</f>
        <v>0</v>
      </c>
      <c r="D4" s="13">
        <f>COUNTIFS(Results!$A$2:$A$993,"MC",Results!$E$2:$E$993,"Away")+COUNTIFS(Results!$C$2:$C$993,"MC",Results!$E$2:$E$993,"Home")</f>
        <v>0</v>
      </c>
      <c r="E4" s="13">
        <f>COUNTIFS(Results!$A$2:$A$993,"MC",Results!$E$2:$E$993,"Draw")+COUNTIFS(Results!$C$2:$C$993,"MC",Results!$E$2:$E$993,"Draw")</f>
        <v>0</v>
      </c>
      <c r="F4" s="13">
        <f t="shared" si="1"/>
        <v>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7" t="s">
        <v>34</v>
      </c>
      <c r="B5" s="13">
        <f>COUNTIFS(Results!$A$2:$A986,"BF")+COUNTIFS(Results!$C$2:$C$993,"BF")</f>
        <v>0</v>
      </c>
      <c r="C5" s="13">
        <f>COUNTIFS(Results!$A$2:$A$993,"BF",Results!$E$2:$E$993,"Home")+COUNTIFS(Results!$C$2:$C$993,"BF",Results!$E$2:$E$993,"Away")</f>
        <v>0</v>
      </c>
      <c r="D5" s="13">
        <f>COUNTIFS(Results!$A$2:$A$993,"BF",Results!$E$2:$E$993,"Away")+COUNTIFS(Results!$C$2:$C$993,"BF",Results!$E$2:$E$993,"Home")</f>
        <v>0</v>
      </c>
      <c r="E5" s="13">
        <f>COUNTIFS(Results!$A$2:$A$993,"BF",Results!$E$2:$E$993,"Draw")+COUNTIFS(Results!$C$2:$C$993,"BF",Results!$E$2:$E$993,"Draw")</f>
        <v>0</v>
      </c>
      <c r="F5" s="13">
        <f t="shared" si="1"/>
        <v>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7" t="s">
        <v>47</v>
      </c>
      <c r="B6" s="13">
        <f>COUNTIFS(Results!$A$2:$A986,"PC")+COUNTIFS(Results!$C$2:$C$993,"PC")</f>
        <v>0</v>
      </c>
      <c r="C6" s="13">
        <f>COUNTIFS(Results!$A$2:$A$993,"PC",Results!$E$2:$E$993,"Home")+COUNTIFS(Results!$C$2:$C$993,"PC",Results!$E$2:$E$993,"Away")</f>
        <v>0</v>
      </c>
      <c r="D6" s="13">
        <f>COUNTIFS(Results!$A$2:$A$993,"PC",Results!$E$2:$E$993,"Away")+COUNTIFS(Results!$C$2:$C$993,"PC",Results!$E$2:$E$993,"Home")</f>
        <v>0</v>
      </c>
      <c r="E6" s="13">
        <f>COUNTIFS(Results!$A$2:$A$993,"PC",Results!$E$2:$E$993,"Draw")+COUNTIFS(Results!$C$2:$C$993,"PC",Results!$E$2:$E$993,"Draw")</f>
        <v>0</v>
      </c>
      <c r="F6" s="13">
        <f t="shared" si="1"/>
        <v>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7" t="s">
        <v>62</v>
      </c>
      <c r="B7" s="13">
        <f>COUNTIFS(Results!$A$2:$A985,"JE")+COUNTIFS(Results!$C$2:$C$993,"JE")</f>
        <v>0</v>
      </c>
      <c r="C7" s="13">
        <f>COUNTIFS(Results!$A$2:$A$993,"JE",Results!$E$2:$E$993,"Home")+COUNTIFS(Results!$C$2:$C$993,"JE",Results!$E$2:$E$993,"Away")</f>
        <v>0</v>
      </c>
      <c r="D7" s="13">
        <f>COUNTIFS(Results!$A$2:$A$993,"JE",Results!$E$2:$E$993,"Away")+COUNTIFS(Results!$C$2:$C$993,"JE",Results!$E$2:$E$993,"Home")</f>
        <v>0</v>
      </c>
      <c r="E7" s="13">
        <f>COUNTIFS(Results!$A$2:$A$993,"JE",Results!$E$2:$E$993,"Draw")+COUNTIFS(Results!$C$2:$C$993,"JE",Results!$E$2:$E$993,"Draw")</f>
        <v>0</v>
      </c>
      <c r="F7" s="13">
        <f t="shared" si="1"/>
        <v>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7" t="s">
        <v>81</v>
      </c>
      <c r="B8" s="13">
        <f>COUNTIFS(Results!$A$2:$A998,"TC")+COUNTIFS(Results!$C$2:$C$993,"TC")</f>
        <v>0</v>
      </c>
      <c r="C8" s="13">
        <f>COUNTIFS(Results!$A$2:$A$993,"TC",Results!$E$2:$E$993,"Home")+COUNTIFS(Results!$C$2:$C$993,"TC",Results!$E$2:$E$993,"Away")</f>
        <v>0</v>
      </c>
      <c r="D8" s="13">
        <f>COUNTIFS(Results!$A$2:$A$993,"TC",Results!$E$2:$E$993,"Away")+COUNTIFS(Results!$C$2:$C$993,"TC",Results!$E$2:$E$993,"Home")</f>
        <v>0</v>
      </c>
      <c r="E8" s="13">
        <f>COUNTIFS(Results!$A$2:$A$993,"TC",Results!$E$2:$E$993,"Draw")+COUNTIFS(Results!$C$2:$C$993,"TC",Results!$E$2:$E$993,"Draw")</f>
        <v>0</v>
      </c>
      <c r="F8" s="13">
        <f t="shared" si="1"/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53" t="s">
        <v>89</v>
      </c>
      <c r="B10" s="54">
        <f>COUNTIFS(Results!$A$2:$A989,"SY")+COUNTIFS(Results!$C$2:$C$993,"SY")</f>
        <v>0</v>
      </c>
      <c r="C10" s="54">
        <f>COUNTIFS(Results!$A$2:$A$993,"SY",Results!$E$2:$E$993,"Home")+COUNTIFS(Results!$C$2:$C$993,"SY",Results!$E$2:$E$993,"Away")</f>
        <v>0</v>
      </c>
      <c r="D10" s="54">
        <f>COUNTIFS(Results!$A$2:$A$993,"SY",Results!$E$2:$E$993,"Away")+COUNTIFS(Results!$C$2:$C$993,"SY",Results!$E$2:$E$993,"Home")</f>
        <v>0</v>
      </c>
      <c r="E10" s="54">
        <f>COUNTIFS(Results!$A$2:$A$993,"SY",Results!$E$2:$E$993,"Draw")+COUNTIFS(Results!$C$2:$C$993,"SY",Results!$E$2:$E$993,"Draw")</f>
        <v>0</v>
      </c>
      <c r="F10" s="54">
        <f t="shared" ref="F10:F16" si="2">(C10*6)+(E10*3)</f>
        <v>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53" t="s">
        <v>96</v>
      </c>
      <c r="B11" s="54">
        <f>COUNTIFS(Results!$A$2:$A997,"GH")+COUNTIFS(Results!$C$2:$C$993,"GH")</f>
        <v>0</v>
      </c>
      <c r="C11" s="54">
        <f>COUNTIFS(Results!$A$2:$A$993,"GH",Results!$E$2:$E$993,"Home")+COUNTIFS(Results!$C$2:$C$993,"GH",Results!$E$2:$E$993,"Away")</f>
        <v>0</v>
      </c>
      <c r="D11" s="54">
        <f>COUNTIFS(Results!$A$2:$A$993,"GH",Results!$E$2:$E$993,"Away")+COUNTIFS(Results!$C$2:$C$993,"GH",Results!$E$2:$E$993,"Home")</f>
        <v>0</v>
      </c>
      <c r="E11" s="54">
        <f>COUNTIFS(Results!$A$2:$A$993,"GH",Results!$E$2:$E$993,"Draw")+COUNTIFS(Results!$C$2:$C$993,"GH",Results!$E$2:$E$993,"Draw")</f>
        <v>0</v>
      </c>
      <c r="F11" s="54">
        <f t="shared" si="2"/>
        <v>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53" t="s">
        <v>102</v>
      </c>
      <c r="B12" s="54">
        <f>COUNTIFS(Results!$A$2:$A999,"DC")+COUNTIFS(Results!$C$2:$C$993,"DC")</f>
        <v>0</v>
      </c>
      <c r="C12" s="54">
        <f>COUNTIFS(Results!$A$2:$A$993,"DC",Results!$E$2:$E$993,"Home")+COUNTIFS(Results!$C$2:$C$993,"DC",Results!$E$2:$E$993,"Away")</f>
        <v>0</v>
      </c>
      <c r="D12" s="54">
        <f>COUNTIFS(Results!$A$2:$A$993,"DC",Results!$E$2:$E$993,"Away")+COUNTIFS(Results!$C$2:$C$993,"DC",Results!$E$2:$E$993,"Home")</f>
        <v>0</v>
      </c>
      <c r="E12" s="54">
        <f>COUNTIFS(Results!$A$2:$A$993,"DC",Results!$E$2:$E$993,"Draw")+COUNTIFS(Results!$C$2:$C$993,"DC",Results!$E$2:$E$993,"Draw")</f>
        <v>0</v>
      </c>
      <c r="F12" s="54">
        <f t="shared" si="2"/>
        <v>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53" t="s">
        <v>103</v>
      </c>
      <c r="B13" s="54">
        <f>COUNTIFS(Results!$A$2:$A$1003,"SM")+COUNTIFS(Results!$C$2:$C$993,"SM")</f>
        <v>0</v>
      </c>
      <c r="C13" s="54">
        <f>COUNTIFS(Results!$A$2:$A$993,"SM",Results!$E$2:$E$993,"Home")+COUNTIFS(Results!$C$2:$C$993,"SM",Results!$E$2:$E$993,"Away")</f>
        <v>0</v>
      </c>
      <c r="D13" s="54">
        <f>COUNTIFS(Results!$A$2:$A$993,"SM",Results!$E$2:$E$993,"Away")+COUNTIFS(Results!$C$2:$C$993,"SM",Results!$E$2:$E$993,"Home")</f>
        <v>0</v>
      </c>
      <c r="E13" s="54">
        <f>COUNTIFS(Results!$A$2:$A$993,"SM",Results!$E$2:$E$993,"Draw")+COUNTIFS(Results!$C$2:$C$993,"SM",Results!$E$2:$E$993,"Draw")</f>
        <v>0</v>
      </c>
      <c r="F13" s="54">
        <f t="shared" si="2"/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53" t="s">
        <v>104</v>
      </c>
      <c r="B14" s="54">
        <f>COUNTIFS(Results!$A$2:$A1005,"ES")+COUNTIFS(Results!$C$2:$C$993,"ES")</f>
        <v>0</v>
      </c>
      <c r="C14" s="54">
        <f>COUNTIFS(Results!$A$2:$A$993,"ES",Results!$E$2:$E$993,"Home")+COUNTIFS(Results!$C$2:$C$993,"ES",Results!$E$2:$E$993,"Away")</f>
        <v>0</v>
      </c>
      <c r="D14" s="54">
        <f>COUNTIFS(Results!$A$2:$A$993,"ES",Results!$E$2:$E$993,"Away")+COUNTIFS(Results!$C$2:$C$993,"ES",Results!$E$2:$E$993,"Home")</f>
        <v>0</v>
      </c>
      <c r="E14" s="54">
        <f>COUNTIFS(Results!$A$2:$A$993,"ES",Results!$E$2:$E$993,"Draw")+COUNTIFS(Results!$C$2:$C$993,"ES",Results!$E$2:$E$993,"Draw")</f>
        <v>0</v>
      </c>
      <c r="F14" s="54">
        <f t="shared" si="2"/>
        <v>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53" t="s">
        <v>105</v>
      </c>
      <c r="B15" s="54">
        <f>COUNTIFS(Results!$A$2:$A1003,"BR")+COUNTIFS(Results!$C$2:$C$993,"BR")</f>
        <v>0</v>
      </c>
      <c r="C15" s="54">
        <f>COUNTIFS(Results!$A$2:$A$993,"BR",Results!$E$2:$E$993,"Home")+COUNTIFS(Results!$C$2:$C$993,"BR",Results!$E$2:$E$993,"Away")</f>
        <v>0</v>
      </c>
      <c r="D15" s="54">
        <f>COUNTIFS(Results!$A$2:$A$993,"BR",Results!$E$2:$E$993,"Away")+COUNTIFS(Results!$C$2:$C$993,"BR",Results!$E$2:$E$993,"Home")</f>
        <v>0</v>
      </c>
      <c r="E15" s="54">
        <f>COUNTIFS(Results!$A$2:$A$993,"BR",Results!$E$2:$E$993,"Draw")+COUNTIFS(Results!$C$2:$C$993,"BR",Results!$E$2:$E$993,"Draw")</f>
        <v>0</v>
      </c>
      <c r="F15" s="54">
        <f t="shared" si="2"/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53" t="s">
        <v>106</v>
      </c>
      <c r="B16" s="54">
        <f>COUNTIFS(Results!$A$2:$A999,"MY")+COUNTIFS(Results!$C$2:$C$993,"MY")</f>
        <v>0</v>
      </c>
      <c r="C16" s="54">
        <f>COUNTIFS(Results!$A$2:$A$993,"MY",Results!$E$2:$E$993,"Home")+COUNTIFS(Results!$C$2:$C$993,"MY",Results!$E$2:$E$993,"Away")</f>
        <v>0</v>
      </c>
      <c r="D16" s="54">
        <f>COUNTIFS(Results!$A$2:$A$993,"MY",Results!$E$2:$E$993,"Away")+COUNTIFS(Results!$C$2:$C$993,"MY",Results!$E$2:$E$993,"Home")</f>
        <v>0</v>
      </c>
      <c r="E16" s="54">
        <f>COUNTIFS(Results!$A$2:$A$993,"MY",Results!$E$2:$E$993,"Draw")+COUNTIFS(Results!$C$2:$C$993,"MY",Results!$E$2:$E$993,"Draw")</f>
        <v>0</v>
      </c>
      <c r="F16" s="54">
        <f t="shared" si="2"/>
        <v>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5"/>
      <c r="D1" s="5"/>
      <c r="E1" s="5"/>
      <c r="F1" s="5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5"/>
      <c r="C2" s="5"/>
      <c r="D2" s="5"/>
      <c r="E2" s="12"/>
      <c r="F2" s="5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4"/>
      <c r="B3" s="15"/>
      <c r="C3" s="5"/>
      <c r="D3" s="17"/>
      <c r="E3" s="5"/>
      <c r="F3" s="5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B4" s="19"/>
      <c r="C4" s="5"/>
      <c r="D4" s="20"/>
      <c r="E4" s="12"/>
      <c r="F4" s="5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/>
      <c r="B5" s="19"/>
      <c r="C5" s="23"/>
      <c r="D5" s="20"/>
      <c r="E5" s="5"/>
      <c r="F5" s="5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19"/>
      <c r="C6" s="24"/>
      <c r="D6" s="20"/>
      <c r="E6" s="5"/>
      <c r="F6" s="5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19"/>
      <c r="C7" s="5"/>
      <c r="D7" s="20"/>
      <c r="E7" s="12"/>
      <c r="F7" s="5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15"/>
      <c r="C8" s="5"/>
      <c r="D8" s="25"/>
      <c r="E8" s="5"/>
      <c r="F8" s="5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/>
      <c r="B9" s="5"/>
      <c r="C9" s="5"/>
      <c r="D9" s="5"/>
      <c r="E9" s="12"/>
      <c r="F9" s="5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/>
      <c r="B10" s="5"/>
      <c r="C10" s="5"/>
      <c r="D10" s="5"/>
      <c r="E10" s="5"/>
      <c r="F10" s="5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5"/>
      <c r="D11" s="5"/>
      <c r="E11" s="5"/>
      <c r="F11" s="5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9" t="s">
        <v>15</v>
      </c>
      <c r="B12" s="5"/>
      <c r="C12" s="5"/>
      <c r="D12" s="5"/>
      <c r="E12" s="5"/>
      <c r="F12" s="5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31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